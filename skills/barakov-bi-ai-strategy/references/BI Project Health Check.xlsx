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 Project Health Check" sheetId="1" r:id="rId5"/>
    <sheet state="visible" name="About the tool" sheetId="2" r:id="rId6"/>
    <sheet state="hidden" name="Criteria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tc={143aa13e-c449-4112-be6d-b8cf8ee4662d}</author>
    <author>tc={3ed6d617-cbd5-4561-9255-dccd9dee3330}</author>
    <author>tc={92d99704-be20-42b0-a65b-4106647432de}</author>
    <author>tc={b129eaf4-d9a3-489e-93ea-7fcefa02d32f}</author>
    <author>tc={dfb5b694-4342-48f3-9d22-821adf4a2f70}</author>
    <author>tc={ea3c827c-c706-4476-9a0f-20a0eea5fe78}</author>
    <author>tc={ee00cdcb-9069-4413-af66-4858168c1ff4}</author>
  </authors>
  <commentList>
    <comment authorId="0" ref="L33">
      <text>
        <t xml:space="preserve">Levels of BI maturity</t>
      </text>
    </comment>
    <comment authorId="0" ref="C7">
      <text>
        <t xml:space="preserve">How many use cases based on data and analytics are applicable to the type of business you have? How direct is the link from these use cases to the revenue?</t>
      </text>
    </comment>
    <comment authorId="1" xr:uid="{143aa13e-c449-4112-be6d-b8cf8ee4662d}" ref="B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как будто дзесь тоже хчоется про рассылки/алертинг нслак почта
</t>
      </text>
    </comment>
    <comment authorId="2" xr:uid="{3ed6d617-cbd5-4561-9255-dccd9dee3330}" ref="C1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 понимаю,и как это в проджект менеджмент
</t>
      </text>
    </comment>
    <comment authorId="3" xr:uid="{92d99704-be20-42b0-a65b-4106647432de}" ref="C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оч хочется больное, что нет мастер сорсов для self-service и мб что-то про обучение sql еще
</t>
      </text>
    </comment>
    <comment authorId="4" xr:uid="{b129eaf4-d9a3-489e-93ea-7fcefa02d32f}" ref="B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мне кажется тут слишком крутое начало, сразу семантический слой, сначала б бизнес глоссарий хоть какой-то, ci/cdтоже часто первичнее семантич слоя
короч хчоется от простого к сложному
</t>
      </text>
    </comment>
    <comment authorId="5" xr:uid="{dfb5b694-4342-48f3-9d22-821adf4a2f70}" ref="C1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мб делаются ли бэкапы...
</t>
      </text>
    </comment>
    <comment authorId="6" xr:uid="{ea3c827c-c706-4476-9a0f-20a0eea5fe78}" ref="C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ожидала тут тоже вопрос-раскрытие)
</t>
      </text>
    </comment>
    <comment authorId="7" xr:uid="{ee00cdcb-9069-4413-af66-4858168c1ff4}" ref="C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где-то BI system где-то BI platform но кажется часто понимаются как одно и то же
</t>
      </text>
    </comment>
  </commentList>
</comments>
</file>

<file path=xl/sharedStrings.xml><?xml version="1.0" encoding="utf-8"?>
<sst xmlns="http://schemas.openxmlformats.org/spreadsheetml/2006/main" count="769" uniqueCount="408">
  <si>
    <t>0 - No</t>
  </si>
  <si>
    <t>1 - Planned</t>
  </si>
  <si>
    <t>2 - In Progress / Partially Completed</t>
  </si>
  <si>
    <t>3 - Completed, but Improvement Needed</t>
  </si>
  <si>
    <t>4 - Fully Completed and Optimized</t>
  </si>
  <si>
    <t>Select an option</t>
  </si>
  <si>
    <t>Up to 50</t>
  </si>
  <si>
    <t>Up to 150</t>
  </si>
  <si>
    <t>Up to 500</t>
  </si>
  <si>
    <t>500+</t>
  </si>
  <si>
    <t>High Dependency: Data is vital for Business</t>
  </si>
  <si>
    <t>Moderate Dependency: Data provides important support for the business</t>
  </si>
  <si>
    <t>Low Dependency: Business is managed mostly based on experience and historical practices.</t>
  </si>
  <si>
    <r>
      <rPr>
        <rFont val="Arial"/>
        <b/>
        <color rgb="FFFFFFFF"/>
        <sz val="19.0"/>
      </rPr>
      <t xml:space="preserve">BI Adoption Diagnostics tool </t>
    </r>
    <r>
      <rPr>
        <rFont val="Arial"/>
        <b val="0"/>
        <i/>
        <color rgb="FFFFFFFF"/>
        <sz val="19.0"/>
      </rPr>
      <t>by Data Nature</t>
    </r>
  </si>
  <si>
    <t>Very Likely: Data-driven innovations are revolutionizing the industry</t>
  </si>
  <si>
    <t>Somewhat Likely: Moderate impact, with data enhancing existing methods and processes.</t>
  </si>
  <si>
    <t>Unlikely: Limited influence, traditional approaches remain dominant despite data availability.</t>
  </si>
  <si>
    <t>Not Applicable</t>
  </si>
  <si>
    <t>Rarely Applicable</t>
  </si>
  <si>
    <t>Sometimes Applicable</t>
  </si>
  <si>
    <t>Often Applicable</t>
  </si>
  <si>
    <t>Highly Applicable</t>
  </si>
  <si>
    <t xml:space="preserve">Designed by Data Nature
free to use, comment or share
</t>
  </si>
  <si>
    <t xml:space="preserve">Hey, BI Manager. </t>
  </si>
  <si>
    <t xml:space="preserve">https://data-nature.com </t>
  </si>
  <si>
    <t>This is a tool I developed to streamline the introspection and strategic planning in a simple and clear way.
Should this tool not fully meet your needs, feel free to adapt it to your requirements. It's available for free download and customization.</t>
  </si>
  <si>
    <t>BR, Alex Barakov</t>
  </si>
  <si>
    <t>Other ideas behind this Tool:</t>
  </si>
  <si>
    <t>This initiative is open for suggestions from data and analytics community. Feel free to share feedback with comments of write me directly using</t>
  </si>
  <si>
    <t>Telegram</t>
  </si>
  <si>
    <t>or</t>
  </si>
  <si>
    <t>Linkedin</t>
  </si>
  <si>
    <t xml:space="preserve">If you require assistance in evaluating data maturity or in designing a data strategy, please feel free to </t>
  </si>
  <si>
    <t>reach out to me for support.</t>
  </si>
  <si>
    <t>BI Project Health Check</t>
  </si>
  <si>
    <t xml:space="preserve">  Self-assessment tool for diagnosing BI Health problems and planning improvements  </t>
  </si>
  <si>
    <t xml:space="preserve">Designed by Data Nature
free to use, comment or share
</t>
  </si>
  <si>
    <r>
      <rPr>
        <rFont val="Arial"/>
        <b/>
        <color rgb="FF000000"/>
      </rPr>
      <t>Answer the questions below one by one and review the charts with the results.</t>
    </r>
    <r>
      <rPr>
        <rFont val="Arial"/>
        <b val="0"/>
        <color rgb="FF000000"/>
      </rPr>
      <t xml:space="preserve"> These charts show the maturity of your BI project across these factors—plan activities to raise the bars.</t>
    </r>
  </si>
  <si>
    <t>(If you are sure that the question is completely non-applicable to your type of organization, leave it unanswered)</t>
  </si>
  <si>
    <t xml:space="preserve">1️⃣ 👇 Answer the questions below one by one and review the charts with the results </t>
  </si>
  <si>
    <t>2️⃣ Set your one-year goals for each factor from (0–4) as from the dropdown list.👇</t>
  </si>
  <si>
    <t>Company</t>
  </si>
  <si>
    <t>Target</t>
  </si>
  <si>
    <t>Mastering</t>
  </si>
  <si>
    <t>Connection with business</t>
  </si>
  <si>
    <t>Adoption and Satisfaction</t>
  </si>
  <si>
    <t>BI Content management</t>
  </si>
  <si>
    <t>Self-Service BI Delivery</t>
  </si>
  <si>
    <t>Guided BI Service Delivery</t>
  </si>
  <si>
    <t>BI Platform Governance</t>
  </si>
  <si>
    <t>Data Quality management</t>
  </si>
  <si>
    <t>BI security and compliance</t>
  </si>
  <si>
    <t>Project Management</t>
  </si>
  <si>
    <t>Beginning</t>
  </si>
  <si>
    <t>Learninig</t>
  </si>
  <si>
    <t>Developing</t>
  </si>
  <si>
    <t>Business Alignment</t>
  </si>
  <si>
    <t>Data Culture</t>
  </si>
  <si>
    <t>Processes &amp; Standards</t>
  </si>
  <si>
    <t>User Engagement</t>
  </si>
  <si>
    <t>Skills &amp; Trainings</t>
  </si>
  <si>
    <t>Tools &amp; Automation</t>
  </si>
  <si>
    <t>Efficiency Monitoring</t>
  </si>
  <si>
    <t>List of Factors</t>
  </si>
  <si>
    <t>Solution category</t>
  </si>
  <si>
    <t>Your self-estimation</t>
  </si>
  <si>
    <t>Your score</t>
  </si>
  <si>
    <t>Level 1</t>
  </si>
  <si>
    <t>Level 2</t>
  </si>
  <si>
    <t>Level  3</t>
  </si>
  <si>
    <t>Level 4</t>
  </si>
  <si>
    <t>1Y Target</t>
  </si>
  <si>
    <t>1.1</t>
  </si>
  <si>
    <t>Registration of analytical cases</t>
  </si>
  <si>
    <t>Is there a registry of analytical cases, ranked based on their value to the business?</t>
  </si>
  <si>
    <t>1.2</t>
  </si>
  <si>
    <t>Integration into business processes</t>
  </si>
  <si>
    <t>Are BI reports integrated into regular business processes and meeting cadence for managerial decision-making?</t>
  </si>
  <si>
    <t>1.3</t>
  </si>
  <si>
    <t>Alignment of BI goals with business goals</t>
  </si>
  <si>
    <t>Do BI initiatives align with the strategic and operational goals of the business?</t>
  </si>
  <si>
    <t>1.4</t>
  </si>
  <si>
    <t>Engagement of business leaders</t>
  </si>
  <si>
    <t>Are business leaders actively involved in BI initiatives and do they promote the dissemination of reports among teams?</t>
  </si>
  <si>
    <t>1.5</t>
  </si>
  <si>
    <t>Defining target audience roles for BI</t>
  </si>
  <si>
    <t>Are the personas of the target audience for BI clearly defined and classified by how they consume/produce analytics?</t>
  </si>
  <si>
    <t>1.6</t>
  </si>
  <si>
    <t>Structuring business metrics</t>
  </si>
  <si>
    <t xml:space="preserve">Is the business metrics tree clearly defined and standardized for organizational consistency?
</t>
  </si>
  <si>
    <t>2.1</t>
  </si>
  <si>
    <t>Monitoring BI usage</t>
  </si>
  <si>
    <t>Are there tools for monitoring report usage and analyzing BI usage statistics (BI for BI)?</t>
  </si>
  <si>
    <t>2.2</t>
  </si>
  <si>
    <t>BI tools adoption assessment</t>
  </si>
  <si>
    <t xml:space="preserve">Do you conduct regular assessments of BI/Analytical tools adoption?                        </t>
  </si>
  <si>
    <t>2.3</t>
  </si>
  <si>
    <t>Level of business engagement</t>
  </si>
  <si>
    <t>Does the proportion of active BI users per month exceed 50% for key target management roles?</t>
  </si>
  <si>
    <t>2.4</t>
  </si>
  <si>
    <t>BI adoption goals</t>
  </si>
  <si>
    <t>Is BI/Analytical tools adoption included in the list of goals of the BI Team?</t>
  </si>
  <si>
    <t>2.5</t>
  </si>
  <si>
    <t>User satisfaction assessment</t>
  </si>
  <si>
    <t>Are regular user surveys conducted to assess their satisfaction with working with BI reports?</t>
  </si>
  <si>
    <t>2.6</t>
  </si>
  <si>
    <t xml:space="preserve">Feedback gathering </t>
  </si>
  <si>
    <t>Do you have a framework in place for gathering feedback from end-users to enhance BI reports?</t>
  </si>
  <si>
    <t>2.7</t>
  </si>
  <si>
    <t>Onboarding of new users</t>
  </si>
  <si>
    <t xml:space="preserve">Is there a process for onboarding new users into BI tools and systems with recommended reports?	</t>
  </si>
  <si>
    <t>3.1</t>
  </si>
  <si>
    <t>Acceptance criteria for tasks</t>
  </si>
  <si>
    <t>Are clear task acceptance criteria defined and agreed upon with the business?</t>
  </si>
  <si>
    <t>3.2</t>
  </si>
  <si>
    <t>BI development process</t>
  </si>
  <si>
    <t>Do you have a documented requirements gathering framework?</t>
  </si>
  <si>
    <t>3.3</t>
  </si>
  <si>
    <t>Testing and release checklist</t>
  </si>
  <si>
    <t>Does every productive report release and update follow a checklist to ensure quality?</t>
  </si>
  <si>
    <t>3.4</t>
  </si>
  <si>
    <t>Documentation of reports</t>
  </si>
  <si>
    <t>Is there a process in place for documenting reports, including data sources, metrics, logic, use cases, and ownership?</t>
  </si>
  <si>
    <t>3.5</t>
  </si>
  <si>
    <t>Content certification with the business</t>
  </si>
  <si>
    <t>Is there a labeling for reports recommended for specific metrics by business data owner?</t>
  </si>
  <si>
    <t>3.6</t>
  </si>
  <si>
    <t>Regular review of reports with the business</t>
  </si>
  <si>
    <t>Are regular reviews of reports conducted with the business data owners to check their relevance and alignment?</t>
  </si>
  <si>
    <t>3.7</t>
  </si>
  <si>
    <t>Integration of reports with the data glossary</t>
  </si>
  <si>
    <t>Are BI reports integrated with the corporate data glossary to standardize terminology and improve understanding?</t>
  </si>
  <si>
    <t xml:space="preserve"> </t>
  </si>
  <si>
    <t>3.8</t>
  </si>
  <si>
    <t>Content archiving procedure</t>
  </si>
  <si>
    <t>Is there a procedure in place for archiving outdated or unused reports and data sources?</t>
  </si>
  <si>
    <t>3.9</t>
  </si>
  <si>
    <t>Load time tracking</t>
  </si>
  <si>
    <t>Is there a regular process for tracking report loading times againts acceptable performance standard levels?</t>
  </si>
  <si>
    <t>3.10</t>
  </si>
  <si>
    <t>Load time improvement workflow</t>
  </si>
  <si>
    <t xml:space="preserve">Is there a regular process in place for improving report performance, including the use of a specialized guide?
</t>
  </si>
  <si>
    <t>3.11</t>
  </si>
  <si>
    <t>Style guide</t>
  </si>
  <si>
    <t>Do you have well-defined visual guidelines for data visualization and BI reporting?</t>
  </si>
  <si>
    <t>Content Health SLAs (Load Time, Actuality, etc)</t>
  </si>
  <si>
    <t>4.1</t>
  </si>
  <si>
    <t>Operating model balance</t>
  </si>
  <si>
    <r>
      <rPr>
        <rFont val="Arial"/>
        <color theme="1"/>
      </rPr>
      <t xml:space="preserve">Do you have </t>
    </r>
    <r>
      <rPr>
        <rFont val="Arial"/>
        <color theme="1"/>
      </rPr>
      <t>both a centralized and self-service BI models harmonized</t>
    </r>
    <r>
      <rPr>
        <rFont val="Arial"/>
        <color theme="1"/>
      </rPr>
      <t xml:space="preserve"> for the needs of your company?</t>
    </r>
  </si>
  <si>
    <t>4.2</t>
  </si>
  <si>
    <t xml:space="preserve">Methodologies and tools consistency </t>
  </si>
  <si>
    <t>Is there a mechanism to ensure consistency in analytics methodologies and tools across departments?</t>
  </si>
  <si>
    <t>4.3</t>
  </si>
  <si>
    <t>Communication</t>
  </si>
  <si>
    <t>Is there an established portal and chat / channel for communication related to Self-Service BI?</t>
  </si>
  <si>
    <t>4.4</t>
  </si>
  <si>
    <t>Content transfer and review</t>
  </si>
  <si>
    <t>Is there a process for transferring content ownership between Self-Service BI authors and the centralized BI team?</t>
  </si>
  <si>
    <t>4.5</t>
  </si>
  <si>
    <t>BI Champions</t>
  </si>
  <si>
    <t>Do you have a BI Champions program that advocates for and leads the BI framework within data domains?</t>
  </si>
  <si>
    <t>4.6</t>
  </si>
  <si>
    <t>Learning paths</t>
  </si>
  <si>
    <t>Are structured learning paths available to guide users in improving their BI skills?</t>
  </si>
  <si>
    <t>4.7</t>
  </si>
  <si>
    <t>Community building</t>
  </si>
  <si>
    <t xml:space="preserve">Are there regular community-building activities: meetups, demo days, or knowledge-sharing events for BI users?	</t>
  </si>
  <si>
    <t>4.8</t>
  </si>
  <si>
    <t>Training and mentorship services</t>
  </si>
  <si>
    <t xml:space="preserve">Are regular training sessions conducted for Self-Service BI users, and are mentorship services available?	</t>
  </si>
  <si>
    <t>5.1</t>
  </si>
  <si>
    <t>BI user support</t>
  </si>
  <si>
    <t>Are there support teams available to assist BI users with their issues?</t>
  </si>
  <si>
    <t>5.2</t>
  </si>
  <si>
    <t>Regular user training sessions</t>
  </si>
  <si>
    <t>Are regular training sessions conducted to improve users' proficiency with BI reports?</t>
  </si>
  <si>
    <t>5.4</t>
  </si>
  <si>
    <t>Joint data analysis sessions</t>
  </si>
  <si>
    <t>Are regular joint data analysis sessions held by BI team with business leaders and SMEs?</t>
  </si>
  <si>
    <t>5.5</t>
  </si>
  <si>
    <t>Data accessibility for users</t>
  </si>
  <si>
    <t>Do users have access to data and can independently work with BI reports using data exploration capabilities?</t>
  </si>
  <si>
    <t>5.6</t>
  </si>
  <si>
    <t>Report optimization for devices</t>
  </si>
  <si>
    <t>Are BI reports optimized for proper display on mobile devices, tablets?</t>
  </si>
  <si>
    <t>5.7</t>
  </si>
  <si>
    <t>Usability testing of reports</t>
  </si>
  <si>
    <t>Is usability testing conducted with real users to improve the ease of use of reports?</t>
  </si>
  <si>
    <t>5.8</t>
  </si>
  <si>
    <t>User experience analysis</t>
  </si>
  <si>
    <t>Is user behavior analysis conducted to improve the functionality and usability of reports?</t>
  </si>
  <si>
    <t>5.9</t>
  </si>
  <si>
    <t>Improved BI navigation portal</t>
  </si>
  <si>
    <t>Is there a BI portal with improved navigation in place, built on top of the default one?</t>
  </si>
  <si>
    <t>6.1</t>
  </si>
  <si>
    <t>Semantic layer</t>
  </si>
  <si>
    <t>Do you have a semantic layer solution  – a centralized data layer for reporting that ensures consistent logic?</t>
  </si>
  <si>
    <t>6.2</t>
  </si>
  <si>
    <t>Metric store</t>
  </si>
  <si>
    <t>Is there a centralized Metric Store (e.g., dbt metrics) ensuring consistent metric logic across reports and analytics tools?</t>
  </si>
  <si>
    <t>6.3</t>
  </si>
  <si>
    <t>Insights management solution</t>
  </si>
  <si>
    <t>Do you have a solution for automated generating and delivering insights from data and reports?</t>
  </si>
  <si>
    <t>6.4</t>
  </si>
  <si>
    <t>CI/CD practices</t>
  </si>
  <si>
    <t>Have you integrated CI/CD practices into your BI / data engineering workflows for efficient deployment of data assets?</t>
  </si>
  <si>
    <t>6.5</t>
  </si>
  <si>
    <t>Self-service ETL tools</t>
  </si>
  <si>
    <t>Does your data architecture support self-service ETL tools for power user to manage data without DWH team service?</t>
  </si>
  <si>
    <t>6.6</t>
  </si>
  <si>
    <t>BI system performance monitoring tools</t>
  </si>
  <si>
    <t>Are there performance monitoring tools for the BI system (e.g., report load times, errors, etc.)?</t>
  </si>
  <si>
    <t>6.7</t>
  </si>
  <si>
    <t>Regular query optimization</t>
  </si>
  <si>
    <t>Is there a tooling and process of regular query check and optimization to improve the performance of the BI system?</t>
  </si>
  <si>
    <t>6.8</t>
  </si>
  <si>
    <t>BI platform update management</t>
  </si>
  <si>
    <t>Is there a well-established process for updating the BI platform?</t>
  </si>
  <si>
    <t>6.9</t>
  </si>
  <si>
    <t>Integration with Data Catalog</t>
  </si>
  <si>
    <t>Is the BI system integrated with a data catalog for easy discovery and governance of data assets?</t>
  </si>
  <si>
    <t>6.10</t>
  </si>
  <si>
    <t>Automation of report subscriptions</t>
  </si>
  <si>
    <t>Is there automation for mass report distribution with flexible customization options based on user needs?</t>
  </si>
  <si>
    <t>7.1</t>
  </si>
  <si>
    <t>Automation of report updates</t>
  </si>
  <si>
    <t>Are reports automatically updated on a set schedule without the need for manual intervention?</t>
  </si>
  <si>
    <t>7.2</t>
  </si>
  <si>
    <t>Data validation</t>
  </si>
  <si>
    <t>Are automated procedures in place to check data for accuracy, completeness, and timeliness of BI products?</t>
  </si>
  <si>
    <t>7.3</t>
  </si>
  <si>
    <t>Certified data sources</t>
  </si>
  <si>
    <t>Is there a layer of data sources certified for use in specific data domains or metrics?</t>
  </si>
  <si>
    <t>7.4</t>
  </si>
  <si>
    <t>Documentation of data sources</t>
  </si>
  <si>
    <t>Are all certified data sources clearly documented, including their fields description and ownership?</t>
  </si>
  <si>
    <t>7.5</t>
  </si>
  <si>
    <t>Tracking of data changes</t>
  </si>
  <si>
    <t>Is there a process in the BI system for tracking data changes using data lineage metadata?</t>
  </si>
  <si>
    <t>7.6</t>
  </si>
  <si>
    <t>Transparency of data freshness</t>
  </si>
  <si>
    <t>Is the data extraction time and any delays clearly displayed in reports for transparency?</t>
  </si>
  <si>
    <t>8.1</t>
  </si>
  <si>
    <t>Role-based access management</t>
  </si>
  <si>
    <t>Does the BI system have role-based access control, restricting data access based on user roles?</t>
  </si>
  <si>
    <t>8.2</t>
  </si>
  <si>
    <t>Automatic user role identification</t>
  </si>
  <si>
    <t>Is access automatically granted based on automatic rule-based role assignment in the BI system?</t>
  </si>
  <si>
    <t>8.3</t>
  </si>
  <si>
    <t>Access profile request workflows</t>
  </si>
  <si>
    <t>Is there a system for users to request access profiles with an automated approval workflow?</t>
  </si>
  <si>
    <t>8.4</t>
  </si>
  <si>
    <t>Integration with Active Directory (or similar)</t>
  </si>
  <si>
    <t>Is access to the BI system managed through integration with Active Directory or a similar system?</t>
  </si>
  <si>
    <t>8.5</t>
  </si>
  <si>
    <t>Regular security audits</t>
  </si>
  <si>
    <t>Are regular security audits conducted to review access rights in the BI system?</t>
  </si>
  <si>
    <t>8.6</t>
  </si>
  <si>
    <t>Compliance with legal regulations</t>
  </si>
  <si>
    <t>Does the BI system comply with legal regulations (e.g., GDPR, HIPAA)?</t>
  </si>
  <si>
    <t>8.7</t>
  </si>
  <si>
    <t>Risk assessment and management</t>
  </si>
  <si>
    <t>Is regular risk assessment conducted regarding the use of data and analytics in the BI system?</t>
  </si>
  <si>
    <t>8.8</t>
  </si>
  <si>
    <t>BI disaster recovery plan</t>
  </si>
  <si>
    <t>Has a disaster recovery plan been developed and tested for the BI system?</t>
  </si>
  <si>
    <t>9.1</t>
  </si>
  <si>
    <t>Project prioritization system</t>
  </si>
  <si>
    <t>Is there a BI project prioritization system in place for managing resources and providing clarity for stakeholders?</t>
  </si>
  <si>
    <t>9.2</t>
  </si>
  <si>
    <t>Task tracking routine</t>
  </si>
  <si>
    <t>Is project management conducted in a task-tracking environment (like JIRA) ?</t>
  </si>
  <si>
    <t>9.3</t>
  </si>
  <si>
    <t>Agile project management</t>
  </si>
  <si>
    <t>Is Agile project management (e.g., Kanban or Scrum with sprints and retrospectives) used for BI projects?</t>
  </si>
  <si>
    <t>9.4</t>
  </si>
  <si>
    <t>Competency matrix</t>
  </si>
  <si>
    <t>Is there a competency matrix in place to assess and develop skills within the BI team?</t>
  </si>
  <si>
    <t>9.5</t>
  </si>
  <si>
    <t>Operational efficiency</t>
  </si>
  <si>
    <t>Is there a defined list of KPIs for BI team, such as adoption rate, user satisfaction, etc.?</t>
  </si>
  <si>
    <t>9.6</t>
  </si>
  <si>
    <t>Team goals setting</t>
  </si>
  <si>
    <t>Are the BI team's annual goals aligned with key strategic initiatives in data and analytics?</t>
  </si>
  <si>
    <t>9.7</t>
  </si>
  <si>
    <t>Strategic plan for BI development</t>
  </si>
  <si>
    <t>Has a long-term strategic plan for BI system development been created and maintained?</t>
  </si>
  <si>
    <t>9.8</t>
  </si>
  <si>
    <t>Standardized hiring process</t>
  </si>
  <si>
    <t>Is there a standardized process for hiring and onboarding BI professionals?</t>
  </si>
  <si>
    <t xml:space="preserve">Sharing &amp; Discoverability </t>
  </si>
  <si>
    <t>No</t>
  </si>
  <si>
    <t>https://s3.amazonaws.com/eckerson/content_assets/assets/000/000/260/original/03192020_How_to_Succeed_with_Self-Service_Analytics_v3.pdf?1584972218</t>
  </si>
  <si>
    <t>https://s3.amazonaws.com/eckerson/content_assets/assets/000/000/091/original/EckersonGroup__ReferenceArchitectureforSelf-Service_Final_083116.pdf?1472745107</t>
  </si>
  <si>
    <t xml:space="preserve">Content management </t>
  </si>
  <si>
    <t>In Progress / Partially Completed</t>
  </si>
  <si>
    <t>https://miro.com/app/board/uXjVOAch4J8=/</t>
  </si>
  <si>
    <t>https://www.youtube.com/watch?v=vWXBpLrYhgg</t>
  </si>
  <si>
    <t>https://www.youtube.com/watch?v=3djle1B49To</t>
  </si>
  <si>
    <t>Customer development</t>
  </si>
  <si>
    <t>https://miro.com/app/board/uXjVMwfTA5Q=/</t>
  </si>
  <si>
    <t>Planned</t>
  </si>
  <si>
    <t>https://miro.com/app/board/uXjVMwfTA5Q=/?moveToWidget=3458764566280689940&amp;cot=14</t>
  </si>
  <si>
    <t>4.9</t>
  </si>
  <si>
    <t>https://data-nature.com/ignoringfeedback</t>
  </si>
  <si>
    <t>4.10</t>
  </si>
  <si>
    <t>4.11</t>
  </si>
  <si>
    <t>Collaboration</t>
  </si>
  <si>
    <t>4.12</t>
  </si>
  <si>
    <t>Tools &amp; Frameworks</t>
  </si>
  <si>
    <t xml:space="preserve">https://miro.com/app/board/uXjVMqqPhjM=/ </t>
  </si>
  <si>
    <t>4.13</t>
  </si>
  <si>
    <t>4.14</t>
  </si>
  <si>
    <t>4.15</t>
  </si>
  <si>
    <t>Fully Completed and Optimized</t>
  </si>
  <si>
    <t>Data governance</t>
  </si>
  <si>
    <r>
      <rPr>
        <rFont val="Arial"/>
        <color rgb="FF000000"/>
        <sz val="10.0"/>
      </rPr>
      <t xml:space="preserve">Do business stakeholders understand the </t>
    </r>
    <r>
      <rPr>
        <rFont val="Arial"/>
        <color rgb="FF000000"/>
        <sz val="10.0"/>
      </rPr>
      <t>value drivers of the organization’s data governance initiative?</t>
    </r>
  </si>
  <si>
    <t>Sponsorship</t>
  </si>
  <si>
    <r>
      <rPr>
        <rFont val="Arial"/>
        <color rgb="FF000000"/>
        <sz val="10.0"/>
      </rPr>
      <t>Is there a</t>
    </r>
    <r>
      <rPr>
        <rFont val="Arial"/>
        <color rgb="FF000000"/>
        <sz val="10.0"/>
      </rPr>
      <t xml:space="preserve"> consistent understanding of data definitions </t>
    </r>
    <r>
      <rPr>
        <rFont val="Arial"/>
        <color rgb="FF000000"/>
        <sz val="10.0"/>
      </rPr>
      <t>and data ownership within the organization?</t>
    </r>
  </si>
  <si>
    <t>5.3</t>
  </si>
  <si>
    <r>
      <rPr>
        <rFont val="Arial"/>
        <color rgb="FF000000"/>
        <sz val="10.0"/>
      </rPr>
      <t xml:space="preserve">Does your organization have a </t>
    </r>
    <r>
      <rPr>
        <rFont val="Arial"/>
        <color rgb="FF000000"/>
        <sz val="10.0"/>
      </rPr>
      <t>specific position, such as a Chief Data Officer and a working committee,</t>
    </r>
    <r>
      <rPr>
        <rFont val="Arial"/>
        <color rgb="FF000000"/>
        <sz val="10.0"/>
      </rPr>
      <t xml:space="preserve"> to oversee the data governance initiative?</t>
    </r>
  </si>
  <si>
    <t>https://www.amazon.com/Chief-Data-Officer-Handbook-Governance/dp/158347417X?crid=2VMCSXJP0BENX&amp;keywords=The+Chief+Data+Officer+Handbook+for+Data+Governance&amp;qid=1677497567&amp;sprefix=the+chief+data+officer+handbook+for+data+governance,aps,466&amp;sr=8-1&amp;linkCode=sl1&amp;tag=benfarrell-20&amp;linkId=d1a910eee87e486a6a0b10fcf184e4cb&amp;language=en_US&amp;ref_=as_li_ss_tl</t>
  </si>
  <si>
    <r>
      <rPr>
        <rFont val="Arial"/>
        <color rgb="FF000000"/>
        <sz val="10.0"/>
      </rPr>
      <t xml:space="preserve">Does your organization </t>
    </r>
    <r>
      <rPr>
        <rFont val="Arial"/>
        <color rgb="FF000000"/>
        <sz val="10.0"/>
      </rPr>
      <t>allocate a budget for data governance?</t>
    </r>
  </si>
  <si>
    <r>
      <rPr>
        <rFont val="Arial"/>
        <color rgb="FF000000"/>
        <sz val="10.0"/>
      </rPr>
      <t>Are</t>
    </r>
    <r>
      <rPr>
        <rFont val="Arial"/>
        <color rgb="FF000000"/>
        <sz val="10.0"/>
      </rPr>
      <t xml:space="preserve"> business functions, compliance, and IT all actively engaged</t>
    </r>
    <r>
      <rPr>
        <rFont val="Arial"/>
        <color rgb="FF000000"/>
        <sz val="10.0"/>
      </rPr>
      <t xml:space="preserve"> in your data governance efforts?</t>
    </r>
  </si>
  <si>
    <r>
      <rPr>
        <rFont val="Arial"/>
        <color rgb="FF000000"/>
        <sz val="10.0"/>
      </rPr>
      <t xml:space="preserve">Is there a system in place for </t>
    </r>
    <r>
      <rPr>
        <rFont val="Arial"/>
        <color rgb="FF000000"/>
        <sz val="10.0"/>
      </rPr>
      <t>tracking and managing data-related policies and standards?</t>
    </r>
  </si>
  <si>
    <r>
      <rPr>
        <rFont val="Arial"/>
        <color rgb="FF000000"/>
        <sz val="10.0"/>
      </rPr>
      <t xml:space="preserve">Do you have a </t>
    </r>
    <r>
      <rPr>
        <rFont val="Arial"/>
        <color rgb="FF000000"/>
        <sz val="10.0"/>
      </rPr>
      <t>formalized process for data classification</t>
    </r>
    <r>
      <rPr>
        <rFont val="Arial"/>
        <color rgb="FF000000"/>
        <sz val="10.0"/>
      </rPr>
      <t xml:space="preserve"> - criticality and sensitivity labeling?</t>
    </r>
  </si>
  <si>
    <r>
      <rPr>
        <rFont val="Arial"/>
        <color rgb="FF000000"/>
        <sz val="10.0"/>
      </rPr>
      <t xml:space="preserve">Are there mechanisms for </t>
    </r>
    <r>
      <rPr>
        <rFont val="Arial"/>
        <color rgb="FF000000"/>
        <sz val="10.0"/>
      </rPr>
      <t>ensuring compliance with industry-specific data regulations?</t>
    </r>
  </si>
  <si>
    <r>
      <rPr>
        <rFont val="Arial"/>
        <color rgb="FF000000"/>
        <sz val="10.0"/>
      </rPr>
      <t xml:space="preserve">Do you have a </t>
    </r>
    <r>
      <rPr>
        <rFont val="Arial"/>
        <color rgb="FF000000"/>
        <sz val="10.0"/>
      </rPr>
      <t>process for resolving conflicts related to data ownership</t>
    </r>
    <r>
      <rPr>
        <rFont val="Arial"/>
        <color rgb="FF000000"/>
        <sz val="10.0"/>
      </rPr>
      <t xml:space="preserve"> and stewardship?</t>
    </r>
  </si>
  <si>
    <t>5.10</t>
  </si>
  <si>
    <t>Is there a process for tracking and reporting on data governance performance metrics?</t>
  </si>
  <si>
    <t>Performance tracking</t>
  </si>
  <si>
    <t>5.11</t>
  </si>
  <si>
    <r>
      <rPr>
        <rFont val="Arial"/>
        <color rgb="FF000000"/>
        <sz val="10.0"/>
      </rPr>
      <t xml:space="preserve">Is there a defined and </t>
    </r>
    <r>
      <rPr>
        <rFont val="Arial"/>
        <color rgb="FF000000"/>
        <sz val="10.0"/>
      </rPr>
      <t>documented metadata management proccess</t>
    </r>
    <r>
      <rPr>
        <rFont val="Arial"/>
        <color rgb="FF000000"/>
        <sz val="10.0"/>
      </rPr>
      <t xml:space="preserve"> that cover technical, operational, and business levels?</t>
    </r>
  </si>
  <si>
    <t>5.12</t>
  </si>
  <si>
    <r>
      <rPr>
        <rFont val="Arial"/>
        <color rgb="FF000000"/>
        <sz val="10.0"/>
      </rPr>
      <t>Have you implemented</t>
    </r>
    <r>
      <rPr>
        <rFont val="Arial"/>
        <color rgb="FF000000"/>
        <sz val="10.0"/>
      </rPr>
      <t xml:space="preserve"> a data catalog solution </t>
    </r>
    <r>
      <rPr>
        <rFont val="Arial"/>
        <color rgb="FF000000"/>
        <sz val="10.0"/>
      </rPr>
      <t>to facilitate the discovery of data assets?</t>
    </r>
  </si>
  <si>
    <t>5.13</t>
  </si>
  <si>
    <r>
      <rPr>
        <rFont val="Arial"/>
        <color rgb="FF000000"/>
        <sz val="10.0"/>
      </rPr>
      <t xml:space="preserve">Do we have </t>
    </r>
    <r>
      <rPr>
        <rFont val="Arial"/>
        <color rgb="FF000000"/>
        <sz val="10.0"/>
      </rPr>
      <t>a roadmap</t>
    </r>
    <r>
      <rPr>
        <rFont val="Arial"/>
        <color rgb="FF000000"/>
        <sz val="10.0"/>
      </rPr>
      <t xml:space="preserve"> in place for implementing </t>
    </r>
    <r>
      <rPr>
        <rFont val="Arial"/>
        <color rgb="FF000000"/>
        <sz val="10.0"/>
      </rPr>
      <t>data governance program?</t>
    </r>
  </si>
  <si>
    <t>Planning</t>
  </si>
  <si>
    <t>Data quality management</t>
  </si>
  <si>
    <t>Is there a data quality monitoring tool in place to run data checks, detect and address issues?</t>
  </si>
  <si>
    <t>https://datamanagement.wiki/overview/overview_data_quality_management_system</t>
  </si>
  <si>
    <t>https://www.uber.com/en-BG/blog/d3-an-automated-system-to-detect-data-drifts/</t>
  </si>
  <si>
    <t>Are your critical data assets covered by sufficient data checks?</t>
  </si>
  <si>
    <t>Are data quality issues systematically tracked and reported on a regular basis?</t>
  </si>
  <si>
    <r>
      <rPr>
        <rFont val="Arial"/>
        <color rgb="FF000000"/>
        <sz val="10.0"/>
      </rPr>
      <t xml:space="preserve">Does your organization have </t>
    </r>
    <r>
      <rPr>
        <rFont val="Arial"/>
        <color rgb="FF000000"/>
        <sz val="10.0"/>
      </rPr>
      <t>a feedback loop with data consumers</t>
    </r>
    <r>
      <rPr>
        <rFont val="Arial"/>
        <color rgb="FF000000"/>
        <sz val="10.0"/>
      </rPr>
      <t xml:space="preserve"> to identify and address data quality concerns?</t>
    </r>
  </si>
  <si>
    <t>Are data quality metrics regularly reviewed by key domains and assets and used to drive continuous improvement efforts?</t>
  </si>
  <si>
    <t>Are data stewards or data custodians involved in defining data quality rules and conducting data assessments by domains?</t>
  </si>
  <si>
    <t>Are data quality standards clearly defined and communicated across your organization?</t>
  </si>
  <si>
    <t>Does your organization have a monitoring toolset to analyze the current Data Quality status for each system?</t>
  </si>
  <si>
    <t>Are there established procedures for data cleansing to correct data errors and inconsistencies?</t>
  </si>
  <si>
    <r>
      <rPr>
        <rFont val="Arial"/>
        <color rgb="FF000000"/>
        <sz val="10.0"/>
      </rPr>
      <t xml:space="preserve">Are there </t>
    </r>
    <r>
      <rPr>
        <rFont val="Arial"/>
        <color rgb="FF000000"/>
        <sz val="10.0"/>
      </rPr>
      <t xml:space="preserve">master data and reference master data management </t>
    </r>
    <r>
      <rPr>
        <rFont val="Arial"/>
        <color rgb="FF000000"/>
        <sz val="10.0"/>
      </rPr>
      <t>in place so no duplicate data is made?</t>
    </r>
  </si>
  <si>
    <t>6.11</t>
  </si>
  <si>
    <r>
      <rPr>
        <rFont val="Arial"/>
        <color rgb="FF000000"/>
        <sz val="10.0"/>
      </rPr>
      <t>Are processes in place for performing</t>
    </r>
    <r>
      <rPr>
        <rFont val="Arial"/>
        <color rgb="FF000000"/>
        <sz val="10.0"/>
      </rPr>
      <t xml:space="preserve"> root-cause-analysis</t>
    </r>
    <r>
      <rPr>
        <rFont val="Arial"/>
        <color rgb="FF000000"/>
        <sz val="10.0"/>
      </rPr>
      <t xml:space="preserve"> to discover where data quality issues are occurring?</t>
    </r>
  </si>
  <si>
    <t>6.12</t>
  </si>
  <si>
    <t xml:space="preserve">Is there a formal training program in place for employees on data quality standards and practices?
</t>
  </si>
  <si>
    <t>Data security management</t>
  </si>
  <si>
    <r>
      <rPr>
        <rFont val="Arial"/>
        <color rgb="FF000000"/>
        <sz val="10.0"/>
      </rPr>
      <t>Are there a comprehensive</t>
    </r>
    <r>
      <rPr>
        <rFont val="Arial"/>
        <color rgb="FF000000"/>
        <sz val="10.0"/>
      </rPr>
      <t xml:space="preserve"> policies related to data protection and security</t>
    </r>
    <r>
      <rPr>
        <rFont val="Arial"/>
        <color rgb="FF000000"/>
        <sz val="10.0"/>
      </rPr>
      <t xml:space="preserve"> that covers all aspects of data handling within the organization?</t>
    </r>
  </si>
  <si>
    <r>
      <rPr>
        <rFont val="Arial"/>
        <color rgb="FF000000"/>
        <sz val="10.0"/>
      </rPr>
      <t xml:space="preserve">Are </t>
    </r>
    <r>
      <rPr>
        <rFont val="Arial"/>
        <color rgb="FF000000"/>
        <sz val="10.0"/>
      </rPr>
      <t>all employees trained</t>
    </r>
    <r>
      <rPr>
        <rFont val="Arial"/>
        <color rgb="FF000000"/>
        <sz val="10.0"/>
      </rPr>
      <t xml:space="preserve"> on data security practices and protocols?</t>
    </r>
  </si>
  <si>
    <r>
      <rPr>
        <rFont val="Arial"/>
        <color rgb="FF000000"/>
        <sz val="10.0"/>
      </rPr>
      <t xml:space="preserve">Does your organization implement </t>
    </r>
    <r>
      <rPr>
        <rFont val="Arial"/>
        <color rgb="FF000000"/>
        <sz val="10.0"/>
      </rPr>
      <t>strict access controls</t>
    </r>
    <r>
      <rPr>
        <rFont val="Arial"/>
        <color rgb="FF000000"/>
        <sz val="10.0"/>
      </rPr>
      <t xml:space="preserve"> to ensure </t>
    </r>
    <r>
      <rPr>
        <rFont val="Arial"/>
        <color rgb="FF000000"/>
        <sz val="10.0"/>
      </rPr>
      <t>only authorized personnel can access sensitive data</t>
    </r>
    <r>
      <rPr>
        <rFont val="Arial"/>
        <color rgb="FF000000"/>
        <sz val="10.0"/>
      </rPr>
      <t>?</t>
    </r>
  </si>
  <si>
    <r>
      <rPr>
        <rFont val="Arial"/>
        <color rgb="FF000000"/>
        <sz val="10.0"/>
      </rPr>
      <t xml:space="preserve">Are </t>
    </r>
    <r>
      <rPr>
        <rFont val="Arial"/>
        <color rgb="FF000000"/>
        <sz val="10.0"/>
      </rPr>
      <t>regular security audits conducted</t>
    </r>
    <r>
      <rPr>
        <rFont val="Arial"/>
        <color rgb="FF000000"/>
        <sz val="10.0"/>
      </rPr>
      <t xml:space="preserve"> to identify and address potential vulnerabilities?</t>
    </r>
  </si>
  <si>
    <r>
      <rPr>
        <rFont val="Arial"/>
        <color rgb="FF000000"/>
        <sz val="10.0"/>
      </rPr>
      <t xml:space="preserve">Are data access controls and </t>
    </r>
    <r>
      <rPr>
        <rFont val="Arial"/>
        <color rgb="FF000000"/>
        <sz val="10.0"/>
      </rPr>
      <t>permissions regularly reviewed</t>
    </r>
    <r>
      <rPr>
        <rFont val="Arial"/>
        <color rgb="FF000000"/>
        <sz val="10.0"/>
      </rPr>
      <t xml:space="preserve"> and updated based on changing needs?</t>
    </r>
  </si>
  <si>
    <r>
      <rPr>
        <rFont val="Arial"/>
        <color rgb="FF000000"/>
        <sz val="10.0"/>
      </rPr>
      <t xml:space="preserve">Do you have a process for proactively identifying and </t>
    </r>
    <r>
      <rPr>
        <rFont val="Arial"/>
        <color rgb="FF000000"/>
        <sz val="10.0"/>
      </rPr>
      <t>mitigating data-related risks?</t>
    </r>
  </si>
  <si>
    <t>7.7</t>
  </si>
  <si>
    <r>
      <rPr>
        <rFont val="Arial"/>
        <color rgb="FF000000"/>
        <sz val="10.0"/>
      </rPr>
      <t xml:space="preserve">Does your organization have a </t>
    </r>
    <r>
      <rPr>
        <rFont val="Arial"/>
        <color rgb="FF000000"/>
        <sz val="10.0"/>
      </rPr>
      <t>formal incident response plan for potential data breaches</t>
    </r>
    <r>
      <rPr>
        <rFont val="Arial"/>
        <color rgb="FF000000"/>
        <sz val="10.0"/>
      </rPr>
      <t>?</t>
    </r>
  </si>
  <si>
    <t>7.8</t>
  </si>
  <si>
    <r>
      <rPr>
        <rFont val="Arial"/>
        <color rgb="FF000000"/>
        <sz val="10.0"/>
      </rPr>
      <t xml:space="preserve">Are systems and </t>
    </r>
    <r>
      <rPr>
        <rFont val="Arial"/>
        <color rgb="FF000000"/>
        <sz val="10.0"/>
      </rPr>
      <t>software regularly updated</t>
    </r>
    <r>
      <rPr>
        <rFont val="Arial"/>
        <color rgb="FF000000"/>
        <sz val="10.0"/>
      </rPr>
      <t xml:space="preserve"> to protect against the latest security threats?</t>
    </r>
  </si>
  <si>
    <t>7.9</t>
  </si>
  <si>
    <t>Does your organization have established procedures for complying with GDPR regulations, specifically for protecting Personally Identifiable Information (PII) during the data lifecycle?</t>
  </si>
  <si>
    <t>7.10</t>
  </si>
  <si>
    <r>
      <rPr>
        <rFont val="Arial"/>
        <color rgb="FF000000"/>
        <sz val="10.0"/>
      </rPr>
      <t>Does your organization have an</t>
    </r>
    <r>
      <rPr>
        <rFont val="Arial"/>
        <color rgb="FF000000"/>
        <sz val="10.0"/>
      </rPr>
      <t xml:space="preserve"> efficient process in place for requesting data access,</t>
    </r>
    <r>
      <rPr>
        <rFont val="Arial"/>
        <color rgb="FF000000"/>
        <sz val="10.0"/>
      </rPr>
      <t xml:space="preserve"> ensuring both timeliness and ease of use?</t>
    </r>
  </si>
  <si>
    <t>Data Architecture management</t>
  </si>
  <si>
    <r>
      <rPr>
        <rFont val="Arial"/>
        <color rgb="FF000000"/>
        <sz val="10.0"/>
      </rPr>
      <t xml:space="preserve">Do we have a defined </t>
    </r>
    <r>
      <rPr>
        <rFont val="Arial"/>
        <color rgb="FF000000"/>
        <sz val="10.0"/>
      </rPr>
      <t>process for data collection, storage, processing, and usage?</t>
    </r>
  </si>
  <si>
    <r>
      <rPr>
        <rFont val="Arial"/>
        <color rgb="FF000000"/>
        <sz val="10.0"/>
      </rPr>
      <t xml:space="preserve">Do you conduct </t>
    </r>
    <r>
      <rPr>
        <rFont val="Arial"/>
        <color rgb="FF000000"/>
        <sz val="10.0"/>
      </rPr>
      <t>regular reviews</t>
    </r>
    <r>
      <rPr>
        <rFont val="Arial"/>
        <color rgb="FF000000"/>
        <sz val="10.0"/>
      </rPr>
      <t xml:space="preserve"> of data architecture to ensure it </t>
    </r>
    <r>
      <rPr>
        <rFont val="Arial"/>
        <color rgb="FF000000"/>
        <sz val="10.0"/>
      </rPr>
      <t>remains effective, scalable and responsive</t>
    </r>
    <r>
      <rPr>
        <rFont val="Arial"/>
        <color rgb="FF000000"/>
        <sz val="10.0"/>
      </rPr>
      <t xml:space="preserve"> to changing business needs and technology trends?
</t>
    </r>
  </si>
  <si>
    <r>
      <rPr>
        <rFont val="Arial"/>
        <color rgb="FF000000"/>
        <sz val="10.0"/>
      </rPr>
      <t xml:space="preserve">Does your data architecture support </t>
    </r>
    <r>
      <rPr>
        <rFont val="Arial"/>
        <color rgb="FF000000"/>
        <sz val="10.0"/>
      </rPr>
      <t>scalability to accommodate growing data volumes</t>
    </r>
    <r>
      <rPr>
        <rFont val="Arial"/>
        <color rgb="FF000000"/>
        <sz val="10.0"/>
      </rPr>
      <t xml:space="preserve"> and computational needs?</t>
    </r>
  </si>
  <si>
    <r>
      <rPr>
        <rFont val="Arial"/>
        <color rgb="FF000000"/>
        <sz val="10.0"/>
      </rPr>
      <t>Is data governance, data security and data quality management</t>
    </r>
    <r>
      <rPr>
        <rFont val="Arial"/>
        <color rgb="FF000000"/>
        <sz val="10.0"/>
      </rPr>
      <t xml:space="preserve"> systematically integrated</t>
    </r>
    <r>
      <rPr>
        <rFont val="Arial"/>
        <color rgb="FF000000"/>
        <sz val="10.0"/>
      </rPr>
      <t xml:space="preserve"> into your data architecture design?</t>
    </r>
  </si>
  <si>
    <r>
      <rPr>
        <rFont val="Arial"/>
        <color rgb="FF000000"/>
        <sz val="10.0"/>
      </rPr>
      <t xml:space="preserve">Does your organization </t>
    </r>
    <r>
      <rPr>
        <rFont val="Arial"/>
        <color rgb="FF000000"/>
        <sz val="10.0"/>
      </rPr>
      <t xml:space="preserve">utilize modern data stack solutions </t>
    </r>
    <r>
      <rPr>
        <rFont val="Arial"/>
        <color rgb="FF000000"/>
        <sz val="10.0"/>
      </rPr>
      <t>(like cloud-based platforms) for better performance and flexibility?</t>
    </r>
  </si>
  <si>
    <r>
      <rPr>
        <rFont val="Arial"/>
        <color rgb="FF000000"/>
        <sz val="10.0"/>
      </rPr>
      <t xml:space="preserve">Can your data architecture </t>
    </r>
    <r>
      <rPr>
        <rFont val="Arial"/>
        <color rgb="FF000000"/>
        <sz val="10.0"/>
      </rPr>
      <t>handle real-time data processing</t>
    </r>
    <r>
      <rPr>
        <rFont val="Arial"/>
        <color rgb="FF000000"/>
        <sz val="10.0"/>
      </rPr>
      <t xml:space="preserve"> and analytics?</t>
    </r>
  </si>
  <si>
    <t>8.9</t>
  </si>
  <si>
    <r>
      <rPr>
        <rFont val="Arial"/>
        <color rgb="FF000000"/>
        <sz val="10.0"/>
      </rPr>
      <t>Does the data architecture</t>
    </r>
    <r>
      <rPr>
        <rFont val="Arial"/>
        <color rgb="FF000000"/>
        <sz val="10.0"/>
      </rPr>
      <t xml:space="preserve"> support AI, machine learning capabilities?</t>
    </r>
  </si>
  <si>
    <t>8.10</t>
  </si>
  <si>
    <r>
      <rPr>
        <rFont val="Arial"/>
        <color rgb="FF000000"/>
        <sz val="10.0"/>
      </rPr>
      <t>Is your organization</t>
    </r>
    <r>
      <rPr>
        <rFont val="Arial"/>
        <color rgb="FF000000"/>
        <sz val="10.0"/>
      </rPr>
      <t xml:space="preserve"> adopting data mesh principles </t>
    </r>
    <r>
      <rPr>
        <rFont val="Arial"/>
        <color rgb="FF000000"/>
        <sz val="10.0"/>
      </rPr>
      <t>to decentralize data ownership and promote a domain-oriented decentralized architecture?</t>
    </r>
  </si>
  <si>
    <t>https://miro.com/app/board/uXjVMveo0ls=/</t>
  </si>
  <si>
    <t>https://medium.com/tag/data-mesh</t>
  </si>
  <si>
    <t>8.11</t>
  </si>
  <si>
    <r>
      <rPr>
        <rFont val="Arial"/>
        <color rgb="FF000000"/>
        <sz val="10.0"/>
      </rPr>
      <t>Has your organization implemented</t>
    </r>
    <r>
      <rPr>
        <rFont val="Arial"/>
        <color rgb="FF000000"/>
        <sz val="10.0"/>
      </rPr>
      <t xml:space="preserve"> data contracts</t>
    </r>
    <r>
      <rPr>
        <rFont val="Arial"/>
        <color rgb="FF000000"/>
        <sz val="10.0"/>
      </rPr>
      <t xml:space="preserve"> to ensure consistency and clarity in data sharing and usage across different systems?</t>
    </r>
  </si>
  <si>
    <t>https://medium.com/tag/data-contract/recommended</t>
  </si>
  <si>
    <t>8.12</t>
  </si>
  <si>
    <r>
      <rPr>
        <rFont val="Arial"/>
        <color rgb="FF000000"/>
        <sz val="10.0"/>
      </rPr>
      <t xml:space="preserve">Do you have </t>
    </r>
    <r>
      <rPr>
        <rFont val="Arial"/>
        <color rgb="FF000000"/>
        <sz val="10.0"/>
      </rPr>
      <t>a roadmap for evolving your data architecture</t>
    </r>
    <r>
      <rPr>
        <rFont val="Arial"/>
        <color rgb="FF000000"/>
        <sz val="10.0"/>
      </rPr>
      <t xml:space="preserve"> to meet future business requirements?
</t>
    </r>
  </si>
  <si>
    <t>Taking strategic leadership and responsibility</t>
  </si>
  <si>
    <t>Do you have a data &amp; analytics vision with list of goals, initiatives and risk factors?</t>
  </si>
  <si>
    <t>https://miro.com/app/board/uXjVOH6twMo=/?moveToWidget=3458764567569979486&amp;cot=14</t>
  </si>
  <si>
    <t>Is your data strategy aligned with and supportive of your overall business goals?</t>
  </si>
  <si>
    <t>https://miro.com/app/board/uXjVMti4FYE=/</t>
  </si>
  <si>
    <r>
      <rPr>
        <rFont val="Arial"/>
        <color rgb="FF000000"/>
        <sz val="10.0"/>
      </rPr>
      <t xml:space="preserve">Do you actively </t>
    </r>
    <r>
      <rPr>
        <rFont val="Arial"/>
        <color rgb="FF000000"/>
        <sz val="10.0"/>
      </rPr>
      <t>involve executive leadership</t>
    </r>
    <r>
      <rPr>
        <rFont val="Arial"/>
        <color rgb="FF000000"/>
        <sz val="10.0"/>
      </rPr>
      <t xml:space="preserve"> in the development and review of data and analytics strategy?</t>
    </r>
  </si>
  <si>
    <r>
      <rPr>
        <rFont val="Arial"/>
        <color rgb="FF000000"/>
        <sz val="10.0"/>
      </rPr>
      <t xml:space="preserve">Is there a </t>
    </r>
    <r>
      <rPr>
        <rFont val="Arial"/>
        <color rgb="FF000000"/>
        <sz val="10.0"/>
      </rPr>
      <t xml:space="preserve">process for prioritizing data and analytics initiatives </t>
    </r>
    <r>
      <rPr>
        <rFont val="Arial"/>
        <color rgb="FF000000"/>
        <sz val="10.0"/>
      </rPr>
      <t>based on strategic importance?</t>
    </r>
  </si>
  <si>
    <r>
      <rPr>
        <rFont val="Arial"/>
        <color rgb="FF000000"/>
        <sz val="10.0"/>
      </rPr>
      <t xml:space="preserve">Is there a </t>
    </r>
    <r>
      <rPr>
        <rFont val="Arial"/>
        <color rgb="FF000000"/>
        <sz val="10.0"/>
      </rPr>
      <t>designated executive responsible</t>
    </r>
    <r>
      <rPr>
        <rFont val="Arial"/>
        <color rgb="FF000000"/>
        <sz val="10.0"/>
      </rPr>
      <t xml:space="preserve"> for overall data and analytics strategy?
</t>
    </r>
  </si>
  <si>
    <r>
      <rPr>
        <rFont val="Arial"/>
        <color rgb="FF000000"/>
        <sz val="10.0"/>
      </rPr>
      <t xml:space="preserve">Does the organization monitor and </t>
    </r>
    <r>
      <rPr>
        <rFont val="Arial"/>
        <color rgb="FF000000"/>
        <sz val="10.0"/>
      </rPr>
      <t xml:space="preserve">communicate the impact </t>
    </r>
    <r>
      <rPr>
        <rFont val="Arial"/>
        <color rgb="FF000000"/>
        <sz val="10.0"/>
      </rPr>
      <t xml:space="preserve">and outcomes of data initiatives </t>
    </r>
    <r>
      <rPr>
        <rFont val="Arial"/>
        <color rgb="FF000000"/>
        <sz val="10.0"/>
      </rPr>
      <t>to all stakeholders?</t>
    </r>
  </si>
  <si>
    <r>
      <rPr>
        <rFont val="Arial"/>
        <color rgb="FF000000"/>
        <sz val="10.0"/>
      </rPr>
      <t>Does the organization</t>
    </r>
    <r>
      <rPr>
        <rFont val="Arial"/>
        <color rgb="FF000000"/>
        <sz val="10.0"/>
      </rPr>
      <t xml:space="preserve"> invest adequately </t>
    </r>
    <r>
      <rPr>
        <rFont val="Arial"/>
        <color rgb="FF000000"/>
        <sz val="10.0"/>
      </rPr>
      <t>in data and analytics resources and tools?</t>
    </r>
  </si>
  <si>
    <r>
      <rPr>
        <rFont val="Arial"/>
        <color rgb="FF000000"/>
        <sz val="10.0"/>
      </rPr>
      <t xml:space="preserve">Is </t>
    </r>
    <r>
      <rPr>
        <rFont val="Arial"/>
        <color rgb="FF000000"/>
        <sz val="10.0"/>
      </rPr>
      <t>proficiency in data and analysis</t>
    </r>
    <r>
      <rPr>
        <rFont val="Arial"/>
        <color rgb="FF000000"/>
        <sz val="10.0"/>
      </rPr>
      <t xml:space="preserve"> an important </t>
    </r>
    <r>
      <rPr>
        <rFont val="Arial"/>
        <color rgb="FF000000"/>
        <sz val="10.0"/>
      </rPr>
      <t>criterion when selecting individuals for senior leadership roles?</t>
    </r>
  </si>
  <si>
    <t>9.9</t>
  </si>
  <si>
    <r>
      <rPr>
        <rFont val="Arial"/>
        <color rgb="FF000000"/>
        <sz val="10.0"/>
      </rPr>
      <t xml:space="preserve">Is there </t>
    </r>
    <r>
      <rPr>
        <rFont val="Arial"/>
        <color rgb="FF000000"/>
        <sz val="10.0"/>
      </rPr>
      <t>clear responsibility assigned</t>
    </r>
    <r>
      <rPr>
        <rFont val="Arial"/>
        <color rgb="FF000000"/>
        <sz val="10.0"/>
      </rPr>
      <t xml:space="preserve"> for making data-driven decisions </t>
    </r>
    <r>
      <rPr>
        <rFont val="Arial"/>
        <color rgb="FF000000"/>
        <sz val="10.0"/>
      </rPr>
      <t>at various levels</t>
    </r>
    <r>
      <rPr>
        <rFont val="Arial"/>
        <color rgb="FF000000"/>
        <sz val="10.0"/>
      </rPr>
      <t xml:space="preserve"> of the organization?</t>
    </r>
  </si>
  <si>
    <t>9.10</t>
  </si>
  <si>
    <t>Are there programs in place to improve data literacy among the organization's leadership?</t>
  </si>
  <si>
    <t>https://medium.com/tag/data-literacy/recommended</t>
  </si>
  <si>
    <t>9.11</t>
  </si>
  <si>
    <r>
      <rPr>
        <rFont val="Arial"/>
        <color rgb="FF000000"/>
        <sz val="10.0"/>
      </rPr>
      <t>Does</t>
    </r>
    <r>
      <rPr>
        <rFont val="Arial"/>
        <color rgb="FF000000"/>
        <sz val="10.0"/>
      </rPr>
      <t xml:space="preserve"> leadership promote data ethics</t>
    </r>
    <r>
      <rPr>
        <rFont val="Arial"/>
        <color rgb="FF000000"/>
        <sz val="10.0"/>
      </rPr>
      <t xml:space="preserve"> and responsible use of data throughout the organization?</t>
    </r>
  </si>
  <si>
    <t>9.12</t>
  </si>
  <si>
    <r>
      <rPr>
        <rFont val="Arial"/>
        <color rgb="FF000000"/>
        <sz val="10.0"/>
      </rPr>
      <t xml:space="preserve">Is there a </t>
    </r>
    <r>
      <rPr>
        <rFont val="Arial"/>
        <color rgb="FF000000"/>
        <sz val="10.0"/>
      </rPr>
      <t xml:space="preserve">strong commitment from leadership to foster </t>
    </r>
    <r>
      <rPr>
        <rFont val="Arial"/>
        <color rgb="FF000000"/>
        <sz val="10.0"/>
      </rPr>
      <t>a data-driven culture within the organization?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</si>
</sst>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6">
    <font>
      <sz val="10.0"/>
      <color rgb="FF000000"/>
      <name val="Arial"/>
      <scheme val="minor"/>
    </font>
    <font>
      <b/>
      <sz val="12.0"/>
      <color theme="1"/>
      <name val="Arial"/>
    </font>
    <font>
      <color rgb="FFFFFFFF"/>
      <name val="Arial"/>
      <scheme val="minor"/>
    </font>
    <font>
      <sz val="9.0"/>
      <color rgb="FF000000"/>
      <name val="Calibri"/>
    </font>
    <font>
      <b/>
      <sz val="10.0"/>
      <color theme="1"/>
      <name val="Arial"/>
    </font>
    <font>
      <color rgb="FF000000"/>
      <name val="Arial"/>
    </font>
    <font>
      <sz val="10.0"/>
      <color theme="1"/>
      <name val="Arial"/>
    </font>
    <font>
      <color theme="1"/>
      <name val="Arial"/>
      <scheme val="minor"/>
    </font>
    <font>
      <sz val="9.0"/>
      <color rgb="FF000000"/>
      <name val="Arial"/>
    </font>
    <font>
      <b/>
      <sz val="19.0"/>
      <color rgb="FFFFFFFF"/>
      <name val="Arial"/>
      <scheme val="minor"/>
    </font>
    <font>
      <sz val="12.0"/>
      <color rgb="FFFFFFFF"/>
      <name val="Arial"/>
      <scheme val="minor"/>
    </font>
    <font>
      <u/>
      <color rgb="FFFFFFFF"/>
    </font>
    <font>
      <color rgb="FFFFFFFF"/>
      <name val="Arial"/>
    </font>
    <font>
      <sz val="10.0"/>
      <color rgb="FF1F1F1F"/>
      <name val="Arial"/>
      <scheme val="minor"/>
    </font>
    <font>
      <b/>
      <sz val="13.0"/>
      <color theme="1"/>
      <name val="Arial"/>
      <scheme val="minor"/>
    </font>
    <font/>
    <font>
      <sz val="13.0"/>
      <color theme="1"/>
      <name val="Arial"/>
      <scheme val="minor"/>
    </font>
    <font>
      <sz val="10.0"/>
      <color rgb="FF999999"/>
      <name val="Arial"/>
    </font>
    <font>
      <color rgb="FF999999"/>
      <name val="Arial"/>
      <scheme val="minor"/>
    </font>
    <font>
      <u/>
      <color rgb="FF0000FF"/>
    </font>
    <font>
      <color rgb="FF666666"/>
      <name val="Arial"/>
      <scheme val="minor"/>
    </font>
    <font>
      <sz val="10.0"/>
      <color rgb="FF666666"/>
      <name val="Arial"/>
    </font>
    <font>
      <u/>
      <color rgb="FF0000FF"/>
    </font>
    <font>
      <sz val="10.0"/>
      <color rgb="FF0C0C0C"/>
      <name val="Arial"/>
    </font>
    <font>
      <i/>
      <sz val="8.0"/>
      <color theme="1"/>
      <name val="Arial"/>
    </font>
    <font>
      <b/>
      <sz val="11.0"/>
      <color theme="1"/>
      <name val="Arial"/>
    </font>
    <font>
      <sz val="10.0"/>
      <color rgb="FF000000"/>
      <name val="Arial"/>
    </font>
    <font>
      <b/>
      <sz val="19.0"/>
      <color rgb="FF0C0C0C"/>
      <name val="Arial"/>
    </font>
    <font>
      <color theme="1"/>
      <name val="Arial"/>
    </font>
    <font>
      <b/>
      <sz val="18.0"/>
      <color rgb="FF0C0C0C"/>
      <name val="Arial"/>
    </font>
    <font>
      <b/>
      <color rgb="FF000000"/>
      <name val="Arial"/>
    </font>
    <font>
      <sz val="11.0"/>
      <color rgb="FF000000"/>
      <name val="Arial"/>
    </font>
    <font>
      <sz val="11.0"/>
      <color theme="1"/>
      <name val="Arial"/>
    </font>
    <font>
      <sz val="9.0"/>
      <color rgb="FF666666"/>
      <name val="Arial"/>
    </font>
    <font>
      <sz val="20.0"/>
      <color theme="1"/>
      <name val="Arial"/>
    </font>
    <font>
      <b/>
      <sz val="10.0"/>
      <color rgb="FF0078D7"/>
      <name val="Arial"/>
    </font>
    <font>
      <sz val="11.0"/>
      <color rgb="FF666666"/>
      <name val="Arial"/>
    </font>
    <font>
      <sz val="10.0"/>
      <color rgb="FFBFBFBF"/>
      <name val="Arial"/>
    </font>
    <font>
      <sz val="9.0"/>
      <color rgb="FF0078D7"/>
      <name val="Arial"/>
    </font>
    <font>
      <sz val="10.0"/>
      <color rgb="FF2FB1D9"/>
      <name val="Arial"/>
    </font>
    <font>
      <b/>
      <sz val="10.0"/>
      <color rgb="FF2FB1D9"/>
      <name val="Arial"/>
    </font>
    <font>
      <sz val="10.0"/>
      <color rgb="FFC27BA0"/>
      <name val="Arial"/>
    </font>
    <font>
      <sz val="9.0"/>
      <color rgb="FFC27BA0"/>
      <name val="Arial"/>
    </font>
    <font>
      <sz val="12.0"/>
      <color rgb="FF2FB1D9"/>
      <name val="Arial"/>
    </font>
    <font>
      <sz val="10.0"/>
      <color rgb="FF8E7CC3"/>
      <name val="Arial"/>
    </font>
    <font>
      <b/>
      <sz val="10.0"/>
      <color rgb="FF8E7CC3"/>
      <name val="Arial"/>
    </font>
    <font>
      <sz val="9.0"/>
      <color rgb="FFBFBFBF"/>
      <name val="Arial"/>
    </font>
    <font>
      <sz val="9.0"/>
      <color rgb="FFB7B7B7"/>
      <name val="Arial"/>
    </font>
    <font>
      <b/>
      <sz val="10.0"/>
      <color rgb="FF000000"/>
      <name val="Arial"/>
    </font>
    <font>
      <b/>
      <sz val="9.0"/>
      <color rgb="FFBFBFBF"/>
      <name val="Arial"/>
    </font>
    <font>
      <b/>
      <sz val="10.0"/>
      <color rgb="FF666666"/>
      <name val="Arial"/>
    </font>
    <font>
      <b/>
      <sz val="9.0"/>
      <color rgb="FFB7B7B7"/>
      <name val="Arial"/>
    </font>
    <font>
      <b/>
      <sz val="10.0"/>
      <color rgb="FF999999"/>
      <name val="Arial"/>
    </font>
    <font>
      <u/>
      <sz val="10.0"/>
      <color rgb="FF000000"/>
      <name val="Roboto"/>
    </font>
    <font>
      <i/>
      <sz val="10.0"/>
      <color theme="1"/>
      <name val="Arial"/>
    </font>
    <font>
      <i/>
      <sz val="9.0"/>
      <color rgb="FFB7B7B7"/>
      <name val="Arial"/>
    </font>
    <font>
      <u/>
      <sz val="10.0"/>
      <color rgb="FF000000"/>
      <name val="Arial"/>
    </font>
    <font>
      <color rgb="FF999999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b/>
      <color theme="1"/>
      <name val="Arial"/>
      <scheme val="minor"/>
    </font>
    <font>
      <b/>
      <color rgb="FF999999"/>
      <name val="Arial"/>
    </font>
    <font>
      <b/>
      <sz val="11.0"/>
      <color rgb="FF1A1A1A"/>
      <name val="Arial"/>
    </font>
    <font>
      <b/>
      <sz val="10.0"/>
      <color rgb="FFFFFFFF"/>
      <name val="Arial"/>
    </font>
    <font>
      <color rgb="FF666666"/>
      <name val="Arial"/>
    </font>
    <font>
      <u/>
      <sz val="10.0"/>
      <color rgb="FF999999"/>
      <name val="Arial"/>
    </font>
    <font>
      <u/>
      <sz val="10.0"/>
      <color rgb="FF999999"/>
      <name val="Arial"/>
    </font>
    <font>
      <u/>
      <sz val="10.0"/>
      <color rgb="FF999999"/>
      <name val="Arial"/>
    </font>
    <font>
      <sz val="10.0"/>
      <color rgb="FFB7B7B7"/>
      <name val="Arial"/>
    </font>
    <font>
      <u/>
      <sz val="10.0"/>
      <color rgb="FFB7B7B7"/>
      <name val="Arial"/>
    </font>
    <font>
      <b/>
      <sz val="12.0"/>
      <color rgb="FF000000"/>
      <name val="Arial"/>
    </font>
    <font>
      <color rgb="FF000000"/>
      <name val="Arial"/>
      <scheme val="minor"/>
    </font>
    <font>
      <sz val="9.0"/>
      <color rgb="FFB7B7B7"/>
      <name val="Arial"/>
      <scheme val="minor"/>
    </font>
    <font>
      <i/>
      <sz val="10.0"/>
      <color rgb="FFBFBFBF"/>
      <name val="Arial"/>
    </font>
    <font>
      <sz val="10.0"/>
      <color theme="5"/>
      <name val="Arial"/>
    </font>
    <font>
      <b/>
      <sz val="11.0"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0078D7"/>
        <bgColor rgb="FF0078D7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FC3A7"/>
        <bgColor rgb="FFFFC3A7"/>
      </patternFill>
    </fill>
    <fill>
      <patternFill patternType="solid">
        <fgColor rgb="FFF8E9B0"/>
        <bgColor rgb="FFF8E9B0"/>
      </patternFill>
    </fill>
    <fill>
      <patternFill patternType="solid">
        <fgColor rgb="FFB3D499"/>
        <bgColor rgb="FFB3D499"/>
      </patternFill>
    </fill>
    <fill>
      <patternFill patternType="solid">
        <fgColor rgb="FF6CBF81"/>
        <bgColor rgb="FF6CBF81"/>
      </patternFill>
    </fill>
    <fill>
      <patternFill patternType="solid">
        <fgColor rgb="FFD8E3FC"/>
        <bgColor rgb="FFD8E3FC"/>
      </patternFill>
    </fill>
    <fill>
      <patternFill patternType="solid">
        <fgColor rgb="FFE5F1F6"/>
        <bgColor rgb="FFE5F1F6"/>
      </patternFill>
    </fill>
    <fill>
      <patternFill patternType="solid">
        <fgColor rgb="FFC9E7D7"/>
        <bgColor rgb="FFC9E7D7"/>
      </patternFill>
    </fill>
    <fill>
      <patternFill patternType="solid">
        <fgColor rgb="FFACDCB8"/>
        <bgColor rgb="FFACDCB8"/>
      </patternFill>
    </fill>
    <fill>
      <patternFill patternType="solid">
        <fgColor rgb="FFEFEFEF"/>
        <bgColor rgb="FFEFEFEF"/>
      </patternFill>
    </fill>
  </fills>
  <borders count="7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2F2F2"/>
      </bottom>
    </border>
    <border>
      <left style="thin">
        <color rgb="FF0176D9"/>
      </left>
      <right style="thin">
        <color rgb="FF0176D9"/>
      </right>
      <top style="thin">
        <color rgb="FF0176D9"/>
      </top>
      <bottom style="thin">
        <color rgb="FF0176D9"/>
      </bottom>
    </border>
    <border>
      <left/>
      <right/>
      <top style="thin">
        <color rgb="FF9BC2E6"/>
      </top>
      <bottom/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/>
      <right style="thin">
        <color rgb="FFD6DCE4"/>
      </right>
      <top style="thin">
        <color rgb="FFD6DCE4"/>
      </top>
      <bottom style="dotted">
        <color rgb="FFD9D9D9"/>
      </bottom>
    </border>
    <border>
      <left style="thin">
        <color rgb="FF0176D9"/>
      </left>
      <right style="thin">
        <color rgb="FF0176D9"/>
      </right>
      <top style="thin">
        <color rgb="FF0176D9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F3F3F3"/>
      </left>
      <right style="thin">
        <color rgb="FFF3F3F3"/>
      </right>
      <top style="thin">
        <color rgb="FFF3F3F3"/>
      </top>
    </border>
    <border>
      <left style="thin">
        <color rgb="FFF3F3F3"/>
      </left>
      <top style="thin">
        <color rgb="FFF3F3F3"/>
      </top>
    </border>
    <border>
      <top style="thin">
        <color rgb="FFF3F3F3"/>
      </top>
    </border>
    <border>
      <right style="thin">
        <color rgb="FFF3F3F3"/>
      </right>
      <top style="thin">
        <color rgb="FFF3F3F3"/>
      </top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3F3F3"/>
      </left>
      <right style="thin">
        <color rgb="FFF3F3F3"/>
      </right>
      <bottom style="thin">
        <color rgb="FFF3F3F3"/>
      </bottom>
    </border>
    <border>
      <left style="thin">
        <color rgb="FFF3F3F3"/>
      </left>
      <bottom style="thin">
        <color rgb="FFF3F3F3"/>
      </bottom>
    </border>
    <border>
      <left style="thin">
        <color rgb="FFF3F3F3"/>
      </left>
      <right style="thin">
        <color rgb="FFF3F3F3"/>
      </right>
    </border>
    <border>
      <right style="thin">
        <color rgb="FFF3F3F3"/>
      </right>
      <bottom style="thin">
        <color rgb="FFF3F3F3"/>
      </bottom>
    </border>
    <border>
      <left style="thin">
        <color rgb="FFF3F3F3"/>
      </left>
      <top style="thin">
        <color rgb="FFF3F3F3"/>
      </top>
      <bottom style="thin">
        <color rgb="FFF3F3F3"/>
      </bottom>
    </border>
    <border>
      <top style="thin">
        <color rgb="FFF3F3F3"/>
      </top>
      <bottom style="thin">
        <color rgb="FFF3F3F3"/>
      </bottom>
    </border>
    <border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F2F2F2"/>
      </left>
      <top style="thin">
        <color rgb="FFF2F2F2"/>
      </top>
    </border>
    <border>
      <top style="thin">
        <color rgb="FFF2F2F2"/>
      </top>
    </border>
    <border>
      <right style="thin">
        <color rgb="FFF3F3F3"/>
      </right>
      <top style="thin">
        <color rgb="FFF2F2F2"/>
      </top>
    </border>
    <border>
      <left style="thin">
        <color rgb="FFF2F2F2"/>
      </left>
      <right style="thin">
        <color rgb="FFF3F3F3"/>
      </right>
      <top style="thin">
        <color rgb="FFF2F2F2"/>
      </top>
    </border>
    <border>
      <right style="thin">
        <color rgb="FFF2F2F2"/>
      </right>
      <top style="thin">
        <color rgb="FFF2F2F2"/>
      </top>
    </border>
    <border>
      <left style="thin">
        <color rgb="FFF2F2F2"/>
      </left>
      <top style="thin">
        <color rgb="FFF2F2F2"/>
      </top>
      <bottom style="thin">
        <color rgb="FFF2F2F2"/>
      </bottom>
    </border>
    <border>
      <top style="thin">
        <color rgb="FFF2F2F2"/>
      </top>
      <bottom style="thin">
        <color rgb="FFF2F2F2"/>
      </bottom>
    </border>
    <border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bottom style="thin">
        <color rgb="FFF3F3F3"/>
      </bottom>
    </border>
    <border>
      <bottom style="thin">
        <color rgb="FFF3F3F3"/>
      </bottom>
    </border>
    <border>
      <left style="thin">
        <color rgb="FFF2F2F2"/>
      </left>
      <right style="thin">
        <color rgb="FFF3F3F3"/>
      </right>
      <bottom style="thin">
        <color rgb="FFF3F3F3"/>
      </bottom>
    </border>
    <border>
      <left style="thin">
        <color rgb="FFF2F2F2"/>
      </left>
      <bottom style="thin">
        <color rgb="FFF2F2F2"/>
      </bottom>
    </border>
    <border>
      <bottom style="thin">
        <color rgb="FFF2F2F2"/>
      </bottom>
    </border>
    <border>
      <right style="thin">
        <color rgb="FFF2F2F2"/>
      </right>
      <bottom style="thin">
        <color rgb="FFF2F2F2"/>
      </bottom>
    </border>
    <border>
      <left/>
      <right/>
      <bottom/>
    </border>
    <border>
      <left/>
      <bottom/>
    </border>
    <border>
      <left style="thin">
        <color rgb="FFFFFFFF"/>
      </left>
      <bottom style="thin">
        <color rgb="FFFFFFFF"/>
      </bottom>
    </border>
    <border>
      <left style="thin">
        <color rgb="FFF2F2F2"/>
      </left>
      <right style="thin">
        <color rgb="FFFFFFFF"/>
      </righ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F2F2F2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top/>
    </border>
    <border>
      <left/>
      <right/>
      <top/>
    </border>
    <border>
      <left style="thin">
        <color rgb="FFFFFFFF"/>
      </left>
      <top style="thin">
        <color rgb="FFFFFFFF"/>
      </top>
      <bottom style="thin">
        <color rgb="FFF2F2F2"/>
      </bottom>
    </border>
    <border>
      <top style="thin">
        <color rgb="FFFFFFFF"/>
      </top>
      <bottom style="thin">
        <color rgb="FFF2F2F2"/>
      </bottom>
    </border>
    <border>
      <right style="thin">
        <color rgb="FFFFFFFF"/>
      </right>
      <top style="thin">
        <color rgb="FFFFFFFF"/>
      </top>
      <bottom style="thin">
        <color rgb="FFF2F2F2"/>
      </bottom>
    </border>
    <border>
      <left style="thin">
        <color rgb="FFF2F2F2"/>
      </left>
      <right style="thin">
        <color rgb="FFFFFFFF"/>
      </right>
      <top style="thin">
        <color rgb="FFFFFFFF"/>
      </top>
      <bottom style="thin">
        <color rgb="FFF2F2F2"/>
      </bottom>
    </border>
    <border>
      <bottom style="thin">
        <color rgb="FFFFFFFF"/>
      </bottom>
    </border>
    <border>
      <left style="thin">
        <color rgb="FFF2F2F2"/>
      </left>
      <right style="thin">
        <color rgb="FFFFFFFF"/>
      </right>
      <top/>
      <bottom style="thin">
        <color rgb="FFFFFFFF"/>
      </bottom>
    </border>
    <border>
      <right style="thin">
        <color rgb="FFFFFFFF"/>
      </right>
      <bottom style="thin">
        <color rgb="FFF3F3F3"/>
      </bottom>
    </border>
    <border>
      <left style="thin">
        <color rgb="FFFFFFFF"/>
      </left>
      <bottom style="thin">
        <color rgb="FFF3F3F3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3F3F3"/>
      </bottom>
    </border>
    <border>
      <left style="thin">
        <color rgb="FFF2F2F2"/>
      </left>
      <right/>
      <top/>
      <bottom/>
    </border>
    <border>
      <left style="thin">
        <color rgb="FFFFFFFF"/>
      </left>
      <top style="thin">
        <color rgb="FFFFFFFF"/>
      </top>
      <bottom style="thin">
        <color rgb="FFF3F3F3"/>
      </bottom>
    </border>
    <border>
      <top style="thin">
        <color rgb="FFFFFFFF"/>
      </top>
      <bottom style="thin">
        <color rgb="FFF3F3F3"/>
      </bottom>
    </border>
    <border>
      <right style="thin">
        <color rgb="FFFFFFFF"/>
      </right>
      <top style="thin">
        <color rgb="FFFFFFFF"/>
      </top>
      <bottom style="thin">
        <color rgb="FFF3F3F3"/>
      </bottom>
    </border>
    <border>
      <right style="thin">
        <color rgb="FFFFFFFF"/>
      </right>
      <top style="thin">
        <color rgb="FFFFFFFF"/>
      </top>
    </border>
    <border>
      <left style="thin">
        <color rgb="FFF2F2F2"/>
      </left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thin">
        <color rgb="FFF2F2F2"/>
      </left>
      <right style="thin">
        <color rgb="FFFFFFFF"/>
      </right>
      <top style="thin">
        <color rgb="FFFFFFFF"/>
      </top>
    </border>
    <border>
      <left style="thin">
        <color rgb="FFFFFFFF"/>
      </left>
    </border>
    <border>
      <left style="thin">
        <color rgb="FFFFFFFF"/>
      </left>
      <right style="thin">
        <color rgb="FFFFFFFF"/>
      </right>
    </border>
    <border>
      <top style="thin">
        <color rgb="FFFFFFFF"/>
      </top>
    </border>
    <border>
      <left style="thin">
        <color rgb="FFF2F2F2"/>
      </left>
      <right/>
      <bottom/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  <top style="thin">
        <color rgb="FFF3F3F3"/>
      </top>
    </border>
  </borders>
  <cellStyleXfs count="1">
    <xf borderId="0" fillId="0" fontId="0" numFmtId="0" applyAlignment="1" applyFont="1"/>
  </cellStyleXfs>
  <cellXfs count="44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center" wrapText="1"/>
    </xf>
    <xf borderId="2" fillId="2" fontId="2" numFmtId="0" xfId="0" applyBorder="1" applyFill="1" applyFont="1"/>
    <xf borderId="3" fillId="3" fontId="3" numFmtId="0" xfId="0" applyBorder="1" applyFill="1" applyFont="1"/>
    <xf borderId="4" fillId="0" fontId="4" numFmtId="0" xfId="0" applyAlignment="1" applyBorder="1" applyFont="1">
      <alignment shrinkToFit="0" vertical="center" wrapText="1"/>
    </xf>
    <xf borderId="0" fillId="4" fontId="5" numFmtId="0" xfId="0" applyAlignment="1" applyFill="1" applyFont="1">
      <alignment horizontal="left"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readingOrder="0"/>
    </xf>
    <xf borderId="5" fillId="4" fontId="8" numFmtId="0" xfId="0" applyBorder="1" applyFont="1"/>
    <xf borderId="2" fillId="2" fontId="9" numFmtId="0" xfId="0" applyAlignment="1" applyBorder="1" applyFont="1">
      <alignment readingOrder="0" vertical="top"/>
    </xf>
    <xf borderId="2" fillId="2" fontId="2" numFmtId="0" xfId="0" applyAlignment="1" applyBorder="1" applyFont="1">
      <alignment readingOrder="0"/>
    </xf>
    <xf borderId="2" fillId="2" fontId="10" numFmtId="0" xfId="0" applyAlignment="1" applyBorder="1" applyFont="1">
      <alignment readingOrder="0" vertical="center"/>
    </xf>
    <xf borderId="2" fillId="2" fontId="11" numFmtId="0" xfId="0" applyAlignment="1" applyBorder="1" applyFont="1">
      <alignment readingOrder="0" vertical="top"/>
    </xf>
    <xf borderId="2" fillId="2" fontId="10" numFmtId="0" xfId="0" applyAlignment="1" applyBorder="1" applyFont="1">
      <alignment readingOrder="0" vertical="top"/>
    </xf>
    <xf borderId="2" fillId="2" fontId="2" numFmtId="0" xfId="0" applyAlignment="1" applyBorder="1" applyFont="1">
      <alignment readingOrder="0" vertical="top"/>
    </xf>
    <xf borderId="6" fillId="2" fontId="2" numFmtId="0" xfId="0" applyAlignment="1" applyBorder="1" applyFont="1">
      <alignment vertical="center"/>
    </xf>
    <xf borderId="6" fillId="2" fontId="2" numFmtId="0" xfId="0" applyAlignment="1" applyBorder="1" applyFont="1">
      <alignment readingOrder="0" vertical="center"/>
    </xf>
    <xf borderId="6" fillId="2" fontId="12" numFmtId="0" xfId="0" applyAlignment="1" applyBorder="1" applyFont="1">
      <alignment horizontal="left" readingOrder="0" vertical="center"/>
    </xf>
    <xf borderId="7" fillId="4" fontId="7" numFmtId="0" xfId="0" applyBorder="1" applyFont="1"/>
    <xf borderId="0" fillId="4" fontId="13" numFmtId="0" xfId="0" applyAlignment="1" applyFont="1">
      <alignment readingOrder="0"/>
    </xf>
    <xf borderId="7" fillId="4" fontId="7" numFmtId="0" xfId="0" applyAlignment="1" applyBorder="1" applyFont="1">
      <alignment readingOrder="0" vertical="center"/>
    </xf>
    <xf borderId="7" fillId="4" fontId="14" numFmtId="0" xfId="0" applyAlignment="1" applyBorder="1" applyFont="1">
      <alignment readingOrder="0" vertical="center"/>
    </xf>
    <xf borderId="8" fillId="4" fontId="7" numFmtId="0" xfId="0" applyAlignment="1" applyBorder="1" applyFont="1">
      <alignment readingOrder="0" vertical="center"/>
    </xf>
    <xf borderId="9" fillId="0" fontId="15" numFmtId="0" xfId="0" applyBorder="1" applyFont="1"/>
    <xf borderId="10" fillId="0" fontId="15" numFmtId="0" xfId="0" applyBorder="1" applyFont="1"/>
    <xf borderId="8" fillId="4" fontId="14" numFmtId="0" xfId="0" applyAlignment="1" applyBorder="1" applyFont="1">
      <alignment readingOrder="0" vertical="center"/>
    </xf>
    <xf borderId="7" fillId="4" fontId="16" numFmtId="0" xfId="0" applyBorder="1" applyFont="1"/>
    <xf borderId="11" fillId="5" fontId="7" numFmtId="0" xfId="0" applyBorder="1" applyFill="1" applyFont="1"/>
    <xf borderId="11" fillId="6" fontId="17" numFmtId="0" xfId="0" applyAlignment="1" applyBorder="1" applyFill="1" applyFont="1">
      <alignment horizontal="left" readingOrder="0" vertical="center"/>
    </xf>
    <xf borderId="11" fillId="5" fontId="18" numFmtId="0" xfId="0" applyBorder="1" applyFont="1"/>
    <xf borderId="11" fillId="6" fontId="17" numFmtId="0" xfId="0" applyAlignment="1" applyBorder="1" applyFont="1">
      <alignment horizontal="left" vertical="center"/>
    </xf>
    <xf borderId="11" fillId="5" fontId="19" numFmtId="0" xfId="0" applyAlignment="1" applyBorder="1" applyFont="1">
      <alignment readingOrder="0"/>
    </xf>
    <xf borderId="11" fillId="5" fontId="18" numFmtId="0" xfId="0" applyAlignment="1" applyBorder="1" applyFont="1">
      <alignment readingOrder="0"/>
    </xf>
    <xf borderId="11" fillId="5" fontId="7" numFmtId="0" xfId="0" applyAlignment="1" applyBorder="1" applyFont="1">
      <alignment vertical="center"/>
    </xf>
    <xf borderId="11" fillId="5" fontId="20" numFmtId="0" xfId="0" applyAlignment="1" applyBorder="1" applyFont="1">
      <alignment vertical="center"/>
    </xf>
    <xf borderId="11" fillId="6" fontId="21" numFmtId="0" xfId="0" applyAlignment="1" applyBorder="1" applyFont="1">
      <alignment horizontal="left" vertical="center"/>
    </xf>
    <xf borderId="11" fillId="5" fontId="22" numFmtId="0" xfId="0" applyAlignment="1" applyBorder="1" applyFont="1">
      <alignment readingOrder="0" vertical="center"/>
    </xf>
    <xf borderId="12" fillId="6" fontId="23" numFmtId="0" xfId="0" applyAlignment="1" applyBorder="1" applyFont="1">
      <alignment horizontal="left" vertical="center"/>
    </xf>
    <xf borderId="12" fillId="6" fontId="6" numFmtId="0" xfId="0" applyAlignment="1" applyBorder="1" applyFont="1">
      <alignment shrinkToFit="0" vertical="center" wrapText="1"/>
    </xf>
    <xf borderId="12" fillId="6" fontId="6" numFmtId="0" xfId="0" applyAlignment="1" applyBorder="1" applyFont="1">
      <alignment horizontal="left" shrinkToFit="0" vertical="center" wrapText="1"/>
    </xf>
    <xf borderId="12" fillId="6" fontId="24" numFmtId="0" xfId="0" applyAlignment="1" applyBorder="1" applyFont="1">
      <alignment horizontal="center" shrinkToFit="0" vertical="center" wrapText="1"/>
    </xf>
    <xf borderId="12" fillId="6" fontId="4" numFmtId="0" xfId="0" applyAlignment="1" applyBorder="1" applyFont="1">
      <alignment shrinkToFit="0" vertical="center" wrapText="1"/>
    </xf>
    <xf borderId="13" fillId="6" fontId="21" numFmtId="0" xfId="0" applyAlignment="1" applyBorder="1" applyFont="1">
      <alignment shrinkToFit="0" vertical="center" wrapText="1"/>
    </xf>
    <xf borderId="14" fillId="0" fontId="15" numFmtId="0" xfId="0" applyBorder="1" applyFont="1"/>
    <xf borderId="15" fillId="0" fontId="15" numFmtId="0" xfId="0" applyBorder="1" applyFont="1"/>
    <xf borderId="12" fillId="6" fontId="6" numFmtId="0" xfId="0" applyAlignment="1" applyBorder="1" applyFont="1">
      <alignment horizontal="left" vertical="center"/>
    </xf>
    <xf borderId="12" fillId="6" fontId="4" numFmtId="0" xfId="0" applyAlignment="1" applyBorder="1" applyFont="1">
      <alignment horizontal="left" vertical="center"/>
    </xf>
    <xf borderId="13" fillId="6" fontId="25" numFmtId="0" xfId="0" applyAlignment="1" applyBorder="1" applyFont="1">
      <alignment horizontal="center" vertical="center"/>
    </xf>
    <xf borderId="15" fillId="6" fontId="6" numFmtId="0" xfId="0" applyAlignment="1" applyBorder="1" applyFont="1">
      <alignment horizontal="left" vertical="center"/>
    </xf>
    <xf borderId="12" fillId="6" fontId="6" numFmtId="0" xfId="0" applyAlignment="1" applyBorder="1" applyFont="1">
      <alignment vertical="top"/>
    </xf>
    <xf borderId="12" fillId="6" fontId="26" numFmtId="0" xfId="0" applyBorder="1" applyFont="1"/>
    <xf borderId="16" fillId="6" fontId="6" numFmtId="0" xfId="0" applyAlignment="1" applyBorder="1" applyFont="1">
      <alignment horizontal="left" vertical="center"/>
    </xf>
    <xf borderId="16" fillId="6" fontId="27" numFmtId="0" xfId="0" applyAlignment="1" applyBorder="1" applyFont="1">
      <alignment vertical="top"/>
    </xf>
    <xf borderId="16" fillId="6" fontId="17" numFmtId="0" xfId="0" applyAlignment="1" applyBorder="1" applyFont="1">
      <alignment readingOrder="0" vertical="center"/>
    </xf>
    <xf borderId="16" fillId="6" fontId="28" numFmtId="0" xfId="0" applyAlignment="1" applyBorder="1" applyFont="1">
      <alignment vertical="top"/>
    </xf>
    <xf borderId="16" fillId="6" fontId="29" numFmtId="0" xfId="0" applyAlignment="1" applyBorder="1" applyFont="1">
      <alignment horizontal="left" readingOrder="0" vertical="top"/>
    </xf>
    <xf borderId="16" fillId="6" fontId="6" numFmtId="0" xfId="0" applyAlignment="1" applyBorder="1" applyFont="1">
      <alignment horizontal="left" shrinkToFit="0" vertical="center" wrapText="1"/>
    </xf>
    <xf borderId="16" fillId="6" fontId="24" numFmtId="0" xfId="0" applyAlignment="1" applyBorder="1" applyFont="1">
      <alignment horizontal="center" shrinkToFit="0" vertical="center" wrapText="1"/>
    </xf>
    <xf borderId="16" fillId="6" fontId="21" numFmtId="0" xfId="0" applyAlignment="1" applyBorder="1" applyFont="1">
      <alignment shrinkToFit="0" vertical="center" wrapText="1"/>
    </xf>
    <xf borderId="16" fillId="6" fontId="21" numFmtId="0" xfId="0" applyAlignment="1" applyBorder="1" applyFont="1">
      <alignment vertical="center"/>
    </xf>
    <xf borderId="16" fillId="6" fontId="6" numFmtId="0" xfId="0" applyAlignment="1" applyBorder="1" applyFont="1">
      <alignment shrinkToFit="0" vertical="center" wrapText="1"/>
    </xf>
    <xf borderId="16" fillId="6" fontId="4" numFmtId="0" xfId="0" applyAlignment="1" applyBorder="1" applyFont="1">
      <alignment horizontal="left" vertical="center"/>
    </xf>
    <xf borderId="16" fillId="6" fontId="6" numFmtId="0" xfId="0" applyAlignment="1" applyBorder="1" applyFont="1">
      <alignment vertical="top"/>
    </xf>
    <xf borderId="16" fillId="6" fontId="26" numFmtId="0" xfId="0" applyBorder="1" applyFont="1"/>
    <xf borderId="17" fillId="6" fontId="6" numFmtId="0" xfId="0" applyAlignment="1" applyBorder="1" applyFont="1">
      <alignment horizontal="left" vertical="center"/>
    </xf>
    <xf borderId="18" fillId="6" fontId="30" numFmtId="0" xfId="0" applyAlignment="1" applyBorder="1" applyFont="1">
      <alignment readingOrder="0"/>
    </xf>
    <xf borderId="18" fillId="6" fontId="28" numFmtId="0" xfId="0" applyBorder="1" applyFont="1"/>
    <xf borderId="17" fillId="6" fontId="28" numFmtId="0" xfId="0" applyBorder="1" applyFont="1"/>
    <xf borderId="17" fillId="6" fontId="28" numFmtId="0" xfId="0" applyBorder="1" applyFont="1"/>
    <xf borderId="17" fillId="6" fontId="4" numFmtId="0" xfId="0" applyAlignment="1" applyBorder="1" applyFont="1">
      <alignment shrinkToFit="0" vertical="center" wrapText="1"/>
    </xf>
    <xf borderId="17" fillId="6" fontId="21" numFmtId="0" xfId="0" applyAlignment="1" applyBorder="1" applyFont="1">
      <alignment vertical="center"/>
    </xf>
    <xf borderId="19" fillId="6" fontId="6" numFmtId="0" xfId="0" applyAlignment="1" applyBorder="1" applyFont="1">
      <alignment shrinkToFit="0" vertical="center" wrapText="1"/>
    </xf>
    <xf borderId="17" fillId="6" fontId="26" numFmtId="0" xfId="0" applyAlignment="1" applyBorder="1" applyFont="1">
      <alignment horizontal="left" vertical="center"/>
    </xf>
    <xf borderId="17" fillId="6" fontId="31" numFmtId="0" xfId="0" applyAlignment="1" applyBorder="1" applyFont="1">
      <alignment horizontal="center" vertical="center"/>
    </xf>
    <xf borderId="20" fillId="6" fontId="6" numFmtId="0" xfId="0" applyAlignment="1" applyBorder="1" applyFont="1">
      <alignment horizontal="left" vertical="center"/>
    </xf>
    <xf borderId="17" fillId="6" fontId="6" numFmtId="0" xfId="0" applyAlignment="1" applyBorder="1" applyFont="1">
      <alignment vertical="center"/>
    </xf>
    <xf borderId="17" fillId="6" fontId="26" numFmtId="0" xfId="0" applyAlignment="1" applyBorder="1" applyFont="1">
      <alignment vertical="center"/>
    </xf>
    <xf borderId="11" fillId="6" fontId="6" numFmtId="0" xfId="0" applyAlignment="1" applyBorder="1" applyFont="1">
      <alignment horizontal="left" vertical="center"/>
    </xf>
    <xf borderId="11" fillId="6" fontId="28" numFmtId="0" xfId="0" applyBorder="1" applyFont="1"/>
    <xf borderId="11" fillId="6" fontId="28" numFmtId="0" xfId="0" applyBorder="1" applyFont="1"/>
    <xf borderId="11" fillId="6" fontId="4" numFmtId="0" xfId="0" applyAlignment="1" applyBorder="1" applyFont="1">
      <alignment shrinkToFit="0" vertical="center" wrapText="1"/>
    </xf>
    <xf borderId="11" fillId="6" fontId="21" numFmtId="0" xfId="0" applyAlignment="1" applyBorder="1" applyFont="1">
      <alignment vertical="center"/>
    </xf>
    <xf borderId="21" fillId="6" fontId="6" numFmtId="0" xfId="0" applyAlignment="1" applyBorder="1" applyFont="1">
      <alignment horizontal="left" vertical="center"/>
    </xf>
    <xf borderId="11" fillId="6" fontId="32" numFmtId="0" xfId="0" applyAlignment="1" applyBorder="1" applyFont="1">
      <alignment horizontal="center" vertical="center"/>
    </xf>
    <xf borderId="11" fillId="6" fontId="6" numFmtId="0" xfId="0" applyAlignment="1" applyBorder="1" applyFont="1">
      <alignment vertical="center"/>
    </xf>
    <xf borderId="11" fillId="6" fontId="26" numFmtId="0" xfId="0" applyAlignment="1" applyBorder="1" applyFont="1">
      <alignment vertical="center"/>
    </xf>
    <xf borderId="21" fillId="6" fontId="33" numFmtId="0" xfId="0" applyAlignment="1" applyBorder="1" applyFont="1">
      <alignment shrinkToFit="0" textRotation="0" vertical="top" wrapText="1"/>
    </xf>
    <xf borderId="22" fillId="0" fontId="15" numFmtId="0" xfId="0" applyBorder="1" applyFont="1"/>
    <xf borderId="23" fillId="0" fontId="15" numFmtId="0" xfId="0" applyBorder="1" applyFont="1"/>
    <xf borderId="23" fillId="6" fontId="33" numFmtId="0" xfId="0" applyAlignment="1" applyBorder="1" applyFont="1">
      <alignment horizontal="left" readingOrder="0" shrinkToFit="0" textRotation="0" vertical="top" wrapText="1"/>
    </xf>
    <xf borderId="21" fillId="5" fontId="33" numFmtId="0" xfId="0" applyAlignment="1" applyBorder="1" applyFont="1">
      <alignment horizontal="left" readingOrder="0" shrinkToFit="0" textRotation="0" vertical="top" wrapText="1"/>
    </xf>
    <xf borderId="21" fillId="6" fontId="33" numFmtId="0" xfId="0" applyAlignment="1" applyBorder="1" applyFont="1">
      <alignment horizontal="left" readingOrder="0" shrinkToFit="0" textRotation="0" vertical="top" wrapText="1"/>
    </xf>
    <xf borderId="21" fillId="6" fontId="33" numFmtId="0" xfId="0" applyAlignment="1" applyBorder="1" applyFont="1">
      <alignment readingOrder="0" shrinkToFit="0" vertical="center" wrapText="1"/>
    </xf>
    <xf borderId="11" fillId="6" fontId="34" numFmtId="0" xfId="0" applyAlignment="1" applyBorder="1" applyFont="1">
      <alignment horizontal="center" shrinkToFit="0" textRotation="90" vertical="center" wrapText="1"/>
    </xf>
    <xf borderId="11" fillId="6" fontId="6" numFmtId="0" xfId="0" applyAlignment="1" applyBorder="1" applyFont="1">
      <alignment horizontal="left" shrinkToFit="0" vertical="center" wrapText="1"/>
    </xf>
    <xf borderId="21" fillId="6" fontId="24" numFmtId="0" xfId="0" applyAlignment="1" applyBorder="1" applyFont="1">
      <alignment horizontal="center" shrinkToFit="0" vertical="center" wrapText="1"/>
    </xf>
    <xf borderId="21" fillId="6" fontId="32" numFmtId="0" xfId="0" applyAlignment="1" applyBorder="1" applyFont="1">
      <alignment horizontal="center" vertical="center"/>
    </xf>
    <xf borderId="22" fillId="6" fontId="35" numFmtId="0" xfId="0" applyAlignment="1" applyBorder="1" applyFont="1">
      <alignment horizontal="left" readingOrder="0" vertical="center"/>
    </xf>
    <xf borderId="11" fillId="6" fontId="36" numFmtId="0" xfId="0" applyAlignment="1" applyBorder="1" applyFont="1">
      <alignment horizontal="center" readingOrder="0" shrinkToFit="0" vertical="center" wrapText="1"/>
    </xf>
    <xf borderId="11" fillId="6" fontId="6" numFmtId="0" xfId="0" applyAlignment="1" applyBorder="1" applyFont="1">
      <alignment vertical="top"/>
    </xf>
    <xf borderId="11" fillId="6" fontId="26" numFmtId="0" xfId="0" applyBorder="1" applyFont="1"/>
    <xf borderId="12" fillId="6" fontId="34" numFmtId="0" xfId="0" applyAlignment="1" applyBorder="1" applyFont="1">
      <alignment horizontal="center" shrinkToFit="0" textRotation="90" vertical="center" wrapText="1"/>
    </xf>
    <xf borderId="13" fillId="6" fontId="24" numFmtId="0" xfId="0" applyAlignment="1" applyBorder="1" applyFont="1">
      <alignment horizontal="center" shrinkToFit="0" vertical="center" wrapText="1"/>
    </xf>
    <xf borderId="13" fillId="6" fontId="32" numFmtId="0" xfId="0" applyAlignment="1" applyBorder="1" applyFont="1">
      <alignment horizontal="center" vertical="center"/>
    </xf>
    <xf borderId="12" fillId="6" fontId="32" numFmtId="0" xfId="0" applyAlignment="1" applyBorder="1" applyFont="1">
      <alignment horizontal="center" vertical="center"/>
    </xf>
    <xf borderId="12" fillId="6" fontId="36" numFmtId="0" xfId="0" applyAlignment="1" applyBorder="1" applyFont="1">
      <alignment horizontal="center" readingOrder="0" shrinkToFit="0" vertical="center" wrapText="1"/>
    </xf>
    <xf borderId="16" fillId="6" fontId="37" numFmtId="0" xfId="0" applyAlignment="1" applyBorder="1" applyFont="1">
      <alignment horizontal="center" vertical="center"/>
    </xf>
    <xf borderId="24" fillId="6" fontId="26" numFmtId="0" xfId="0" applyAlignment="1" applyBorder="1" applyFont="1">
      <alignment readingOrder="0" shrinkToFit="0" vertical="center" wrapText="1"/>
    </xf>
    <xf borderId="25" fillId="0" fontId="15" numFmtId="0" xfId="0" applyBorder="1" applyFont="1"/>
    <xf borderId="26" fillId="0" fontId="15" numFmtId="0" xfId="0" applyBorder="1" applyFont="1"/>
    <xf borderId="16" fillId="6" fontId="26" numFmtId="0" xfId="0" applyAlignment="1" applyBorder="1" applyFont="1">
      <alignment readingOrder="0" shrinkToFit="0" vertical="bottom" wrapText="1"/>
    </xf>
    <xf borderId="27" fillId="6" fontId="38" numFmtId="0" xfId="0" applyAlignment="1" applyBorder="1" applyFont="1">
      <alignment readingOrder="0" shrinkToFit="0" vertical="center" wrapText="1"/>
    </xf>
    <xf borderId="16" fillId="6" fontId="35" numFmtId="0" xfId="0" applyAlignment="1" applyBorder="1" applyFont="1">
      <alignment readingOrder="0" shrinkToFit="0" vertical="bottom" wrapText="1"/>
    </xf>
    <xf borderId="24" fillId="6" fontId="38" numFmtId="0" xfId="0" applyAlignment="1" applyBorder="1" applyFont="1">
      <alignment readingOrder="0" shrinkToFit="0" vertical="center" wrapText="1"/>
    </xf>
    <xf borderId="28" fillId="0" fontId="15" numFmtId="0" xfId="0" applyBorder="1" applyFont="1"/>
    <xf borderId="29" fillId="6" fontId="35" numFmtId="0" xfId="0" applyAlignment="1" applyBorder="1" applyFont="1">
      <alignment readingOrder="0" shrinkToFit="0" vertical="bottom" wrapText="1"/>
    </xf>
    <xf borderId="30" fillId="0" fontId="15" numFmtId="0" xfId="0" applyBorder="1" applyFont="1"/>
    <xf borderId="31" fillId="0" fontId="15" numFmtId="0" xfId="0" applyBorder="1" applyFont="1"/>
    <xf borderId="16" fillId="6" fontId="25" numFmtId="0" xfId="0" applyAlignment="1" applyBorder="1" applyFont="1">
      <alignment horizontal="center" vertical="center"/>
    </xf>
    <xf borderId="17" fillId="6" fontId="37" numFmtId="0" xfId="0" applyAlignment="1" applyBorder="1" applyFont="1">
      <alignment horizontal="center" vertical="center"/>
    </xf>
    <xf borderId="32" fillId="0" fontId="15" numFmtId="0" xfId="0" applyBorder="1" applyFont="1"/>
    <xf borderId="33" fillId="0" fontId="15" numFmtId="0" xfId="0" applyBorder="1" applyFont="1"/>
    <xf borderId="20" fillId="0" fontId="15" numFmtId="0" xfId="0" applyBorder="1" applyFont="1"/>
    <xf borderId="19" fillId="6" fontId="25" numFmtId="0" xfId="0" applyAlignment="1" applyBorder="1" applyFont="1">
      <alignment readingOrder="0" shrinkToFit="0" vertical="bottom" wrapText="1"/>
    </xf>
    <xf borderId="34" fillId="0" fontId="15" numFmtId="0" xfId="0" applyBorder="1" applyFont="1"/>
    <xf borderId="17" fillId="6" fontId="6" numFmtId="0" xfId="0" applyAlignment="1" applyBorder="1" applyFont="1">
      <alignment vertical="top"/>
    </xf>
    <xf borderId="17" fillId="6" fontId="4" numFmtId="0" xfId="0" applyAlignment="1" applyBorder="1" applyFont="1">
      <alignment vertical="center"/>
    </xf>
    <xf borderId="35" fillId="0" fontId="15" numFmtId="0" xfId="0" applyBorder="1" applyFont="1"/>
    <xf borderId="36" fillId="0" fontId="15" numFmtId="0" xfId="0" applyBorder="1" applyFont="1"/>
    <xf borderId="37" fillId="0" fontId="15" numFmtId="0" xfId="0" applyBorder="1" applyFont="1"/>
    <xf borderId="17" fillId="6" fontId="6" numFmtId="0" xfId="0" applyAlignment="1" applyBorder="1" applyFont="1">
      <alignment shrinkToFit="0" vertical="center" wrapText="1"/>
    </xf>
    <xf borderId="17" fillId="6" fontId="4" numFmtId="0" xfId="0" applyAlignment="1" applyBorder="1" applyFont="1">
      <alignment horizontal="left" vertical="center"/>
    </xf>
    <xf borderId="17" fillId="6" fontId="25" numFmtId="0" xfId="0" applyAlignment="1" applyBorder="1" applyFont="1">
      <alignment horizontal="center" vertical="center"/>
    </xf>
    <xf borderId="17" fillId="6" fontId="26" numFmtId="0" xfId="0" applyBorder="1" applyFont="1"/>
    <xf borderId="38" fillId="4" fontId="37" numFmtId="0" xfId="0" applyAlignment="1" applyBorder="1" applyFont="1">
      <alignment horizontal="center" vertical="center"/>
    </xf>
    <xf borderId="38" fillId="4" fontId="6" numFmtId="0" xfId="0" applyAlignment="1" applyBorder="1" applyFont="1">
      <alignment shrinkToFit="0" vertical="center" wrapText="1"/>
    </xf>
    <xf borderId="39" fillId="4" fontId="6" numFmtId="0" xfId="0" applyAlignment="1" applyBorder="1" applyFont="1">
      <alignment shrinkToFit="0" vertical="center" wrapText="1"/>
    </xf>
    <xf borderId="7" fillId="4" fontId="6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4" fillId="0" fontId="6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vertical="center"/>
    </xf>
    <xf borderId="4" fillId="0" fontId="21" numFmtId="0" xfId="0" applyAlignment="1" applyBorder="1" applyFont="1">
      <alignment vertical="center"/>
    </xf>
    <xf borderId="40" fillId="0" fontId="6" numFmtId="0" xfId="0" applyAlignment="1" applyBorder="1" applyFont="1">
      <alignment shrinkToFit="0" vertical="center" wrapText="1"/>
    </xf>
    <xf borderId="41" fillId="0" fontId="6" numFmtId="0" xfId="0" applyAlignment="1" applyBorder="1" applyFont="1">
      <alignment horizontal="left" vertical="center"/>
    </xf>
    <xf borderId="42" fillId="0" fontId="4" numFmtId="0" xfId="0" applyAlignment="1" applyBorder="1" applyFont="1">
      <alignment horizontal="left" readingOrder="0" vertical="center"/>
    </xf>
    <xf borderId="42" fillId="0" fontId="25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left" vertical="center"/>
    </xf>
    <xf borderId="4" fillId="0" fontId="6" numFmtId="0" xfId="0" applyAlignment="1" applyBorder="1" applyFont="1">
      <alignment vertical="top"/>
    </xf>
    <xf borderId="4" fillId="0" fontId="7" numFmtId="0" xfId="0" applyBorder="1" applyFont="1"/>
    <xf borderId="43" fillId="4" fontId="37" numFmtId="0" xfId="0" applyAlignment="1" applyBorder="1" applyFont="1">
      <alignment horizontal="center" vertical="center"/>
    </xf>
    <xf borderId="43" fillId="4" fontId="39" numFmtId="0" xfId="0" applyAlignment="1" applyBorder="1" applyFont="1">
      <alignment shrinkToFit="0" vertical="center" wrapText="1"/>
    </xf>
    <xf borderId="44" fillId="4" fontId="39" numFmtId="0" xfId="0" applyAlignment="1" applyBorder="1" applyFont="1">
      <alignment shrinkToFit="0" vertical="center" wrapText="1"/>
    </xf>
    <xf borderId="7" fillId="4" fontId="39" numFmtId="0" xfId="0" applyAlignment="1" applyBorder="1" applyFont="1">
      <alignment shrinkToFit="0" vertical="center" wrapText="1"/>
    </xf>
    <xf borderId="45" fillId="7" fontId="39" numFmtId="0" xfId="0" applyAlignment="1" applyBorder="1" applyFill="1" applyFont="1">
      <alignment horizontal="left" shrinkToFit="0" vertical="center" wrapText="1"/>
    </xf>
    <xf borderId="7" fillId="0" fontId="39" numFmtId="0" xfId="0" applyAlignment="1" applyBorder="1" applyFont="1">
      <alignment shrinkToFit="0" vertical="center" wrapText="1"/>
    </xf>
    <xf borderId="7" fillId="0" fontId="40" numFmtId="0" xfId="0" applyAlignment="1" applyBorder="1" applyFont="1">
      <alignment horizontal="center" vertical="center"/>
    </xf>
    <xf borderId="7" fillId="0" fontId="39" numFmtId="0" xfId="0" applyAlignment="1" applyBorder="1" applyFont="1">
      <alignment horizontal="center" vertical="center"/>
    </xf>
    <xf borderId="8" fillId="0" fontId="6" numFmtId="0" xfId="0" applyAlignment="1" applyBorder="1" applyFont="1">
      <alignment readingOrder="0" shrinkToFit="0" vertical="center" wrapText="1"/>
    </xf>
    <xf borderId="8" fillId="0" fontId="6" numFmtId="0" xfId="0" applyAlignment="1" applyBorder="1" applyFont="1">
      <alignment shrinkToFit="0" vertical="center" wrapText="1"/>
    </xf>
    <xf borderId="46" fillId="0" fontId="6" numFmtId="0" xfId="0" applyAlignment="1" applyBorder="1" applyFont="1">
      <alignment horizontal="left" vertical="center"/>
    </xf>
    <xf borderId="7" fillId="0" fontId="41" numFmtId="0" xfId="0" applyAlignment="1" applyBorder="1" applyFont="1">
      <alignment horizontal="left" vertical="center"/>
    </xf>
    <xf borderId="7" fillId="0" fontId="42" numFmtId="0" xfId="0" applyAlignment="1" applyBorder="1" applyFont="1">
      <alignment horizontal="left" shrinkToFit="0" vertical="center" wrapText="1"/>
    </xf>
    <xf borderId="7" fillId="0" fontId="6" numFmtId="0" xfId="0" applyAlignment="1" applyBorder="1" applyFont="1">
      <alignment horizontal="left" vertical="center"/>
    </xf>
    <xf borderId="7" fillId="0" fontId="6" numFmtId="0" xfId="0" applyAlignment="1" applyBorder="1" applyFont="1">
      <alignment vertical="top"/>
    </xf>
    <xf borderId="7" fillId="0" fontId="7" numFmtId="0" xfId="0" applyBorder="1" applyFont="1"/>
    <xf borderId="44" fillId="4" fontId="39" numFmtId="0" xfId="0" applyAlignment="1" applyBorder="1" applyFont="1">
      <alignment readingOrder="0" shrinkToFit="0" vertical="center" wrapText="1"/>
    </xf>
    <xf borderId="7" fillId="4" fontId="39" numFmtId="0" xfId="0" applyAlignment="1" applyBorder="1" applyFont="1">
      <alignment readingOrder="0" shrinkToFit="0" vertical="center" wrapText="1"/>
    </xf>
    <xf borderId="7" fillId="0" fontId="40" numFmtId="164" xfId="0" applyAlignment="1" applyBorder="1" applyFont="1" applyNumberFormat="1">
      <alignment horizontal="center" vertical="center"/>
    </xf>
    <xf borderId="7" fillId="0" fontId="39" numFmtId="164" xfId="0" applyAlignment="1" applyBorder="1" applyFont="1" applyNumberFormat="1">
      <alignment horizontal="center" vertical="center"/>
    </xf>
    <xf borderId="7" fillId="0" fontId="41" numFmtId="9" xfId="0" applyAlignment="1" applyBorder="1" applyFont="1" applyNumberFormat="1">
      <alignment horizontal="left" vertical="center"/>
    </xf>
    <xf borderId="7" fillId="0" fontId="41" numFmtId="9" xfId="0" applyAlignment="1" applyBorder="1" applyFont="1" applyNumberFormat="1">
      <alignment horizontal="left" readingOrder="0" vertical="center"/>
    </xf>
    <xf borderId="7" fillId="4" fontId="43" numFmtId="0" xfId="0" applyAlignment="1" applyBorder="1" applyFont="1">
      <alignment readingOrder="0" shrinkToFit="0" vertical="center" wrapText="1"/>
    </xf>
    <xf borderId="43" fillId="7" fontId="26" numFmtId="0" xfId="0" applyAlignment="1" applyBorder="1" applyFont="1">
      <alignment vertical="center"/>
    </xf>
    <xf borderId="43" fillId="7" fontId="39" numFmtId="0" xfId="0" applyAlignment="1" applyBorder="1" applyFont="1">
      <alignment horizontal="left" vertical="center"/>
    </xf>
    <xf borderId="8" fillId="0" fontId="4" numFmtId="0" xfId="0" applyAlignment="1" applyBorder="1" applyFont="1">
      <alignment vertical="center"/>
    </xf>
    <xf borderId="47" fillId="7" fontId="26" numFmtId="0" xfId="0" applyAlignment="1" applyBorder="1" applyFont="1">
      <alignment shrinkToFit="0" vertical="center" wrapText="1"/>
    </xf>
    <xf borderId="43" fillId="7" fontId="26" numFmtId="0" xfId="0" applyAlignment="1" applyBorder="1" applyFont="1">
      <alignment shrinkToFit="0" vertical="center" wrapText="1"/>
    </xf>
    <xf borderId="7" fillId="7" fontId="26" numFmtId="0" xfId="0" applyAlignment="1" applyBorder="1" applyFont="1">
      <alignment shrinkToFit="0" vertical="center" wrapText="1"/>
    </xf>
    <xf borderId="45" fillId="7" fontId="26" numFmtId="0" xfId="0" applyAlignment="1" applyBorder="1" applyFont="1">
      <alignment horizontal="left" shrinkToFit="0" vertical="center" wrapText="1"/>
    </xf>
    <xf borderId="7" fillId="0" fontId="6" numFmtId="0" xfId="0" applyAlignment="1" applyBorder="1" applyFont="1">
      <alignment shrinkToFit="0" vertical="center" wrapText="1"/>
    </xf>
    <xf borderId="10" fillId="0" fontId="25" numFmtId="0" xfId="0" applyAlignment="1" applyBorder="1" applyFont="1">
      <alignment horizontal="center" vertical="center"/>
    </xf>
    <xf borderId="7" fillId="0" fontId="25" numFmtId="0" xfId="0" applyAlignment="1" applyBorder="1" applyFont="1">
      <alignment horizontal="center" vertical="center"/>
    </xf>
    <xf borderId="7" fillId="7" fontId="44" numFmtId="0" xfId="0" applyAlignment="1" applyBorder="1" applyFont="1">
      <alignment readingOrder="0" shrinkToFit="0" vertical="center" wrapText="1"/>
    </xf>
    <xf borderId="44" fillId="7" fontId="26" numFmtId="0" xfId="0" applyAlignment="1" applyBorder="1" applyFont="1">
      <alignment shrinkToFit="0" vertical="center" wrapText="1"/>
    </xf>
    <xf borderId="7" fillId="7" fontId="44" numFmtId="0" xfId="0" applyAlignment="1" applyBorder="1" applyFont="1">
      <alignment shrinkToFit="0" vertical="center" wrapText="1"/>
    </xf>
    <xf borderId="45" fillId="7" fontId="44" numFmtId="0" xfId="0" applyAlignment="1" applyBorder="1" applyFont="1">
      <alignment horizontal="left" shrinkToFit="0" vertical="center" wrapText="1"/>
    </xf>
    <xf borderId="7" fillId="0" fontId="44" numFmtId="0" xfId="0" applyAlignment="1" applyBorder="1" applyFont="1">
      <alignment shrinkToFit="0" vertical="center" wrapText="1"/>
    </xf>
    <xf borderId="7" fillId="0" fontId="45" numFmtId="0" xfId="0" applyAlignment="1" applyBorder="1" applyFont="1">
      <alignment horizontal="center" vertical="center"/>
    </xf>
    <xf borderId="7" fillId="0" fontId="44" numFmtId="0" xfId="0" applyAlignment="1" applyBorder="1" applyFont="1">
      <alignment horizontal="center" vertical="center"/>
    </xf>
    <xf borderId="7" fillId="4" fontId="25" numFmtId="0" xfId="0" applyAlignment="1" applyBorder="1" applyFont="1">
      <alignment horizontal="center" vertical="center"/>
    </xf>
    <xf borderId="7" fillId="0" fontId="44" numFmtId="164" xfId="0" applyAlignment="1" applyBorder="1" applyFont="1" applyNumberFormat="1">
      <alignment horizontal="center" shrinkToFit="0" vertical="center" wrapText="1"/>
    </xf>
    <xf borderId="7" fillId="0" fontId="44" numFmtId="2" xfId="0" applyAlignment="1" applyBorder="1" applyFont="1" applyNumberFormat="1">
      <alignment horizontal="center" shrinkToFit="0" vertical="center" wrapText="1"/>
    </xf>
    <xf borderId="7" fillId="0" fontId="44" numFmtId="0" xfId="0" applyAlignment="1" applyBorder="1" applyFont="1">
      <alignment readingOrder="0" shrinkToFit="0" vertical="center" wrapText="1"/>
    </xf>
    <xf borderId="48" fillId="7" fontId="26" numFmtId="0" xfId="0" applyAlignment="1" applyBorder="1" applyFont="1">
      <alignment shrinkToFit="0" vertical="center" wrapText="1"/>
    </xf>
    <xf borderId="10" fillId="0" fontId="4" numFmtId="0" xfId="0" applyAlignment="1" applyBorder="1" applyFont="1">
      <alignment horizontal="left" vertical="center"/>
    </xf>
    <xf borderId="9" fillId="0" fontId="25" numFmtId="0" xfId="0" applyAlignment="1" applyBorder="1" applyFont="1">
      <alignment horizontal="center" vertical="center"/>
    </xf>
    <xf borderId="7" fillId="7" fontId="26" numFmtId="0" xfId="0" applyAlignment="1" applyBorder="1" applyFont="1">
      <alignment horizontal="left" shrinkToFit="0" vertical="top" wrapText="1"/>
    </xf>
    <xf borderId="43" fillId="4" fontId="46" numFmtId="0" xfId="0" applyAlignment="1" applyBorder="1" applyFont="1">
      <alignment horizontal="center" shrinkToFit="0" vertical="center" wrapText="1"/>
    </xf>
    <xf borderId="7" fillId="0" fontId="47" numFmtId="0" xfId="0" applyAlignment="1" applyBorder="1" applyFont="1">
      <alignment readingOrder="0" shrinkToFit="0" vertical="center" wrapText="1"/>
    </xf>
    <xf borderId="4" fillId="0" fontId="35" numFmtId="0" xfId="0" applyAlignment="1" applyBorder="1" applyFont="1">
      <alignment shrinkToFit="0" vertical="center" wrapText="1"/>
    </xf>
    <xf borderId="7" fillId="0" fontId="6" numFmtId="0" xfId="0" applyAlignment="1" applyBorder="1" applyFont="1">
      <alignment vertical="center"/>
    </xf>
    <xf borderId="7" fillId="0" fontId="4" numFmtId="0" xfId="0" applyAlignment="1" applyBorder="1" applyFont="1">
      <alignment horizontal="center" shrinkToFit="0" vertical="center" wrapText="1"/>
    </xf>
    <xf borderId="7" fillId="0" fontId="33" numFmtId="0" xfId="0" applyAlignment="1" applyBorder="1" applyFont="1">
      <alignment horizontal="center" readingOrder="0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8" fillId="0" fontId="35" numFmtId="0" xfId="0" applyAlignment="1" applyBorder="1" applyFont="1">
      <alignment horizontal="center" readingOrder="0" shrinkToFit="0" vertical="center" wrapText="1"/>
    </xf>
    <xf borderId="46" fillId="0" fontId="4" numFmtId="0" xfId="0" applyAlignment="1" applyBorder="1" applyFont="1">
      <alignment horizontal="left" vertical="center"/>
    </xf>
    <xf borderId="7" fillId="0" fontId="6" numFmtId="0" xfId="0" applyAlignment="1" applyBorder="1" applyFont="1">
      <alignment horizontal="left" readingOrder="0" vertical="center"/>
    </xf>
    <xf borderId="10" fillId="0" fontId="32" numFmtId="0" xfId="0" applyAlignment="1" applyBorder="1" applyFont="1">
      <alignment horizontal="center" vertical="center"/>
    </xf>
    <xf borderId="7" fillId="7" fontId="48" numFmtId="0" xfId="0" applyAlignment="1" applyBorder="1" applyFont="1">
      <alignment horizontal="left" vertical="center"/>
    </xf>
    <xf borderId="7" fillId="0" fontId="7" numFmtId="0" xfId="0" applyAlignment="1" applyBorder="1" applyFont="1">
      <alignment vertical="center"/>
    </xf>
    <xf borderId="4" fillId="0" fontId="49" numFmtId="0" xfId="0" applyAlignment="1" applyBorder="1" applyFont="1">
      <alignment horizontal="center" shrinkToFit="0" vertical="center" wrapText="1"/>
    </xf>
    <xf borderId="7" fillId="0" fontId="6" numFmtId="164" xfId="0" applyAlignment="1" applyBorder="1" applyFont="1" applyNumberFormat="1">
      <alignment horizontal="left" vertical="center"/>
    </xf>
    <xf borderId="7" fillId="0" fontId="47" numFmtId="164" xfId="0" applyAlignment="1" applyBorder="1" applyFont="1" applyNumberFormat="1">
      <alignment horizontal="left" vertical="center"/>
    </xf>
    <xf borderId="7" fillId="0" fontId="6" numFmtId="164" xfId="0" applyAlignment="1" applyBorder="1" applyFont="1" applyNumberFormat="1">
      <alignment horizontal="left" shrinkToFit="0" vertical="center" wrapText="1"/>
    </xf>
    <xf borderId="7" fillId="0" fontId="4" numFmtId="164" xfId="0" applyAlignment="1" applyBorder="1" applyFont="1" applyNumberFormat="1">
      <alignment horizontal="center" vertical="center"/>
    </xf>
    <xf borderId="7" fillId="0" fontId="50" numFmtId="164" xfId="0" applyAlignment="1" applyBorder="1" applyFont="1" applyNumberFormat="1">
      <alignment horizontal="center" vertical="center"/>
    </xf>
    <xf borderId="8" fillId="0" fontId="6" numFmtId="0" xfId="0" applyAlignment="1" applyBorder="1" applyFont="1">
      <alignment vertical="center"/>
    </xf>
    <xf borderId="7" fillId="7" fontId="26" numFmtId="0" xfId="0" applyAlignment="1" applyBorder="1" applyFont="1">
      <alignment horizontal="left" vertical="center"/>
    </xf>
    <xf borderId="4" fillId="0" fontId="1" numFmtId="0" xfId="0" applyAlignment="1" applyBorder="1" applyFont="1">
      <alignment shrinkToFit="0" vertical="center" wrapText="1"/>
    </xf>
    <xf borderId="7" fillId="0" fontId="1" numFmtId="0" xfId="0" applyAlignment="1" applyBorder="1" applyFont="1">
      <alignment shrinkToFit="0" vertical="center" wrapText="1"/>
    </xf>
    <xf borderId="7" fillId="0" fontId="51" numFmtId="0" xfId="0" applyAlignment="1" applyBorder="1" applyFont="1">
      <alignment shrinkToFit="0" vertical="center" wrapText="1"/>
    </xf>
    <xf borderId="7" fillId="0" fontId="21" numFmtId="164" xfId="0" applyAlignment="1" applyBorder="1" applyFont="1" applyNumberFormat="1">
      <alignment horizontal="center" vertical="center"/>
    </xf>
    <xf borderId="46" fillId="7" fontId="6" numFmtId="0" xfId="0" applyAlignment="1" applyBorder="1" applyFont="1">
      <alignment horizontal="left" vertical="center"/>
    </xf>
    <xf borderId="1" fillId="0" fontId="49" numFmtId="0" xfId="0" applyAlignment="1" applyBorder="1" applyFont="1">
      <alignment horizontal="center" shrinkToFit="0" vertical="center" wrapText="1"/>
    </xf>
    <xf borderId="49" fillId="0" fontId="1" numFmtId="0" xfId="0" applyAlignment="1" applyBorder="1" applyFont="1">
      <alignment readingOrder="0" shrinkToFit="0" vertical="center" wrapText="1"/>
    </xf>
    <xf borderId="50" fillId="0" fontId="15" numFmtId="0" xfId="0" applyBorder="1" applyFont="1"/>
    <xf borderId="51" fillId="0" fontId="15" numFmtId="0" xfId="0" applyBorder="1" applyFont="1"/>
    <xf borderId="51" fillId="0" fontId="1" numFmtId="0" xfId="0" applyAlignment="1" applyBorder="1" applyFont="1">
      <alignment readingOrder="0" shrinkToFit="0" vertical="center" wrapText="1"/>
    </xf>
    <xf borderId="1" fillId="0" fontId="47" numFmtId="0" xfId="0" applyAlignment="1" applyBorder="1" applyFont="1">
      <alignment readingOrder="0" shrinkToFit="0" vertical="center" wrapText="1"/>
    </xf>
    <xf borderId="1" fillId="0" fontId="6" numFmtId="164" xfId="0" applyAlignment="1" applyBorder="1" applyFont="1" applyNumberFormat="1">
      <alignment horizontal="left" shrinkToFit="0" vertical="center" wrapText="1"/>
    </xf>
    <xf borderId="1" fillId="0" fontId="6" numFmtId="0" xfId="0" applyAlignment="1" applyBorder="1" applyFont="1">
      <alignment horizontal="center" vertical="center"/>
    </xf>
    <xf borderId="1" fillId="0" fontId="48" numFmtId="164" xfId="0" applyAlignment="1" applyBorder="1" applyFont="1" applyNumberFormat="1">
      <alignment horizontal="center" vertical="center"/>
    </xf>
    <xf borderId="0" fillId="0" fontId="7" numFmtId="0" xfId="0" applyAlignment="1" applyFont="1">
      <alignment vertical="center"/>
    </xf>
    <xf borderId="1" fillId="0" fontId="52" numFmtId="164" xfId="0" applyAlignment="1" applyBorder="1" applyFont="1" applyNumberFormat="1">
      <alignment horizontal="center" vertical="center"/>
    </xf>
    <xf borderId="49" fillId="0" fontId="6" numFmtId="0" xfId="0" applyAlignment="1" applyBorder="1" applyFont="1">
      <alignment vertical="center"/>
    </xf>
    <xf borderId="52" fillId="7" fontId="26" numFmtId="0" xfId="0" applyAlignment="1" applyBorder="1" applyFont="1">
      <alignment horizontal="left" vertical="center"/>
    </xf>
    <xf borderId="4" fillId="0" fontId="46" numFmtId="0" xfId="0" applyAlignment="1" applyBorder="1" applyFont="1">
      <alignment horizontal="center" shrinkToFit="0" vertical="center" wrapText="1"/>
    </xf>
    <xf borderId="40" fillId="0" fontId="4" numFmtId="0" xfId="0" applyAlignment="1" applyBorder="1" applyFont="1">
      <alignment shrinkToFit="0" vertical="center" wrapText="1"/>
    </xf>
    <xf borderId="53" fillId="0" fontId="15" numFmtId="0" xfId="0" applyBorder="1" applyFont="1"/>
    <xf borderId="42" fillId="0" fontId="15" numFmtId="0" xfId="0" applyBorder="1" applyFont="1"/>
    <xf borderId="4" fillId="0" fontId="51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horizontal="center" vertical="center"/>
    </xf>
    <xf borderId="4" fillId="0" fontId="48" numFmtId="1" xfId="0" applyAlignment="1" applyBorder="1" applyFont="1" applyNumberFormat="1">
      <alignment horizontal="center" vertical="center"/>
    </xf>
    <xf borderId="4" fillId="0" fontId="17" numFmtId="1" xfId="0" applyAlignment="1" applyBorder="1" applyFont="1" applyNumberFormat="1">
      <alignment horizontal="center" vertical="center"/>
    </xf>
    <xf borderId="40" fillId="0" fontId="48" numFmtId="0" xfId="0" applyAlignment="1" applyBorder="1" applyFont="1">
      <alignment horizontal="center" vertical="center"/>
    </xf>
    <xf borderId="40" fillId="0" fontId="6" numFmtId="0" xfId="0" applyAlignment="1" applyBorder="1" applyFont="1">
      <alignment vertical="center"/>
    </xf>
    <xf borderId="54" fillId="7" fontId="26" numFmtId="0" xfId="0" applyAlignment="1" applyBorder="1" applyFont="1">
      <alignment horizontal="left" vertical="center"/>
    </xf>
    <xf borderId="10" fillId="7" fontId="48" numFmtId="0" xfId="0" applyAlignment="1" applyBorder="1" applyFont="1">
      <alignment horizontal="left" vertical="center"/>
    </xf>
    <xf borderId="7" fillId="0" fontId="46" numFmtId="49" xfId="0" applyAlignment="1" applyBorder="1" applyFont="1" applyNumberFormat="1">
      <alignment horizontal="center" shrinkToFit="0" vertical="center" wrapText="1"/>
    </xf>
    <xf borderId="55" fillId="0" fontId="48" numFmtId="0" xfId="0" applyAlignment="1" applyBorder="1" applyFont="1">
      <alignment readingOrder="0" shrinkToFit="0" vertical="center" wrapText="1"/>
    </xf>
    <xf borderId="56" fillId="0" fontId="26" numFmtId="0" xfId="0" applyAlignment="1" applyBorder="1" applyFont="1">
      <alignment readingOrder="0" shrinkToFit="0" vertical="center" wrapText="1"/>
    </xf>
    <xf borderId="55" fillId="0" fontId="15" numFmtId="0" xfId="0" applyBorder="1" applyFont="1"/>
    <xf borderId="55" fillId="0" fontId="47" numFmtId="0" xfId="0" applyAlignment="1" applyBorder="1" applyFont="1">
      <alignment readingOrder="0" shrinkToFit="0" vertical="center" wrapText="1"/>
    </xf>
    <xf borderId="57" fillId="0" fontId="6" numFmtId="0" xfId="0" applyAlignment="1" applyBorder="1" applyFont="1">
      <alignment horizontal="left" readingOrder="0" shrinkToFit="0" vertical="center" wrapText="1"/>
    </xf>
    <xf borderId="57" fillId="0" fontId="26" numFmtId="0" xfId="0" applyAlignment="1" applyBorder="1" applyFont="1">
      <alignment readingOrder="0" shrinkToFit="0" vertical="center" wrapText="1"/>
    </xf>
    <xf borderId="7" fillId="0" fontId="48" numFmtId="1" xfId="0" applyAlignment="1" applyBorder="1" applyFont="1" applyNumberFormat="1">
      <alignment horizontal="center" vertical="center"/>
    </xf>
    <xf borderId="7" fillId="0" fontId="17" numFmtId="1" xfId="0" applyAlignment="1" applyBorder="1" applyFont="1" applyNumberFormat="1">
      <alignment horizontal="center" readingOrder="0" vertical="center"/>
    </xf>
    <xf borderId="7" fillId="0" fontId="17" numFmtId="1" xfId="0" applyAlignment="1" applyBorder="1" applyFont="1" applyNumberFormat="1">
      <alignment horizontal="center" vertical="center"/>
    </xf>
    <xf borderId="46" fillId="7" fontId="26" numFmtId="0" xfId="0" applyAlignment="1" applyBorder="1" applyFont="1">
      <alignment vertical="center"/>
    </xf>
    <xf borderId="10" fillId="7" fontId="17" numFmtId="0" xfId="0" applyAlignment="1" applyBorder="1" applyFont="1">
      <alignment horizontal="left" readingOrder="0" vertical="center"/>
    </xf>
    <xf borderId="10" fillId="7" fontId="52" numFmtId="0" xfId="0" applyAlignment="1" applyBorder="1" applyFont="1">
      <alignment horizontal="left" readingOrder="0" vertical="center"/>
    </xf>
    <xf borderId="10" fillId="7" fontId="48" numFmtId="0" xfId="0" applyAlignment="1" applyBorder="1" applyFont="1">
      <alignment horizontal="left" readingOrder="0" vertical="center"/>
    </xf>
    <xf borderId="58" fillId="7" fontId="53" numFmtId="0" xfId="0" applyAlignment="1" applyBorder="1" applyFont="1">
      <alignment vertical="center"/>
    </xf>
    <xf borderId="46" fillId="7" fontId="26" numFmtId="0" xfId="0" applyAlignment="1" applyBorder="1" applyFont="1">
      <alignment horizontal="left" vertical="center"/>
    </xf>
    <xf borderId="7" fillId="0" fontId="48" numFmtId="1" xfId="0" applyAlignment="1" applyBorder="1" applyFont="1" applyNumberFormat="1">
      <alignment horizontal="center" readingOrder="0" vertical="center"/>
    </xf>
    <xf borderId="7" fillId="0" fontId="49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shrinkToFit="0" vertical="center" wrapText="1"/>
    </xf>
    <xf borderId="7" fillId="0" fontId="6" numFmtId="0" xfId="0" applyAlignment="1" applyBorder="1" applyFont="1">
      <alignment horizontal="center" vertical="center"/>
    </xf>
    <xf borderId="7" fillId="0" fontId="52" numFmtId="1" xfId="0" applyAlignment="1" applyBorder="1" applyFont="1" applyNumberFormat="1">
      <alignment horizontal="center" vertical="center"/>
    </xf>
    <xf borderId="8" fillId="0" fontId="48" numFmtId="0" xfId="0" applyAlignment="1" applyBorder="1" applyFont="1">
      <alignment horizontal="center" vertical="center"/>
    </xf>
    <xf borderId="1" fillId="0" fontId="51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7" fillId="0" fontId="46" numFmtId="49" xfId="0" applyAlignment="1" applyBorder="1" applyFont="1" applyNumberFormat="1">
      <alignment horizontal="center" readingOrder="0" shrinkToFit="0" vertical="center" wrapText="1"/>
    </xf>
    <xf borderId="57" fillId="0" fontId="28" numFmtId="0" xfId="0" applyAlignment="1" applyBorder="1" applyFont="1">
      <alignment readingOrder="0" shrinkToFit="0" vertical="center" wrapText="1"/>
    </xf>
    <xf borderId="41" fillId="7" fontId="26" numFmtId="0" xfId="0" applyAlignment="1" applyBorder="1" applyFont="1">
      <alignment horizontal="left" vertical="center"/>
    </xf>
    <xf borderId="59" fillId="0" fontId="28" numFmtId="0" xfId="0" applyAlignment="1" applyBorder="1" applyFont="1">
      <alignment shrinkToFit="0" vertical="center" wrapText="1"/>
    </xf>
    <xf borderId="60" fillId="0" fontId="15" numFmtId="0" xfId="0" applyBorder="1" applyFont="1"/>
    <xf borderId="61" fillId="0" fontId="15" numFmtId="0" xfId="0" applyBorder="1" applyFont="1"/>
    <xf borderId="59" fillId="0" fontId="26" numFmtId="0" xfId="0" applyAlignment="1" applyBorder="1" applyFont="1">
      <alignment readingOrder="0" shrinkToFit="0" vertical="center" wrapText="1"/>
    </xf>
    <xf borderId="7" fillId="0" fontId="46" numFmtId="0" xfId="0" applyAlignment="1" applyBorder="1" applyFont="1">
      <alignment horizontal="center" shrinkToFit="0" vertical="center" wrapText="1"/>
    </xf>
    <xf borderId="7" fillId="0" fontId="54" numFmtId="0" xfId="0" applyAlignment="1" applyBorder="1" applyFont="1">
      <alignment horizontal="right" shrinkToFit="0" vertical="center" wrapText="1"/>
    </xf>
    <xf borderId="7" fillId="0" fontId="55" numFmtId="0" xfId="0" applyAlignment="1" applyBorder="1" applyFont="1">
      <alignment horizontal="right" shrinkToFit="0" vertical="center" wrapText="1"/>
    </xf>
    <xf borderId="7" fillId="0" fontId="6" numFmtId="0" xfId="0" applyAlignment="1" applyBorder="1" applyFont="1">
      <alignment horizontal="left" shrinkToFit="0" vertical="center" wrapText="1"/>
    </xf>
    <xf borderId="7" fillId="0" fontId="54" numFmtId="164" xfId="0" applyAlignment="1" applyBorder="1" applyFont="1" applyNumberFormat="1">
      <alignment horizontal="center" vertical="center"/>
    </xf>
    <xf borderId="10" fillId="7" fontId="17" numFmtId="0" xfId="0" applyAlignment="1" applyBorder="1" applyFont="1">
      <alignment horizontal="left" vertical="center"/>
    </xf>
    <xf borderId="10" fillId="7" fontId="52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left" shrinkToFit="0" vertical="center" wrapText="1"/>
    </xf>
    <xf borderId="52" fillId="7" fontId="56" numFmtId="0" xfId="0" applyAlignment="1" applyBorder="1" applyFont="1">
      <alignment horizontal="left" vertical="center"/>
    </xf>
    <xf borderId="62" fillId="7" fontId="17" numFmtId="0" xfId="0" applyAlignment="1" applyBorder="1" applyFont="1">
      <alignment horizontal="left" vertical="center"/>
    </xf>
    <xf borderId="62" fillId="7" fontId="52" numFmtId="0" xfId="0" applyAlignment="1" applyBorder="1" applyFont="1">
      <alignment horizontal="left" vertical="center"/>
    </xf>
    <xf borderId="58" fillId="7" fontId="26" numFmtId="0" xfId="0" applyAlignment="1" applyBorder="1" applyFont="1">
      <alignment vertical="center"/>
    </xf>
    <xf borderId="7" fillId="8" fontId="57" numFmtId="1" xfId="0" applyAlignment="1" applyBorder="1" applyFill="1" applyFont="1" applyNumberFormat="1">
      <alignment horizontal="center" readingOrder="0" vertical="center"/>
    </xf>
    <xf borderId="7" fillId="9" fontId="57" numFmtId="1" xfId="0" applyAlignment="1" applyBorder="1" applyFill="1" applyFont="1" applyNumberFormat="1">
      <alignment horizontal="center" vertical="center"/>
    </xf>
    <xf borderId="7" fillId="10" fontId="57" numFmtId="1" xfId="0" applyAlignment="1" applyBorder="1" applyFill="1" applyFont="1" applyNumberFormat="1">
      <alignment horizontal="center" vertical="center"/>
    </xf>
    <xf borderId="7" fillId="11" fontId="57" numFmtId="1" xfId="0" applyAlignment="1" applyBorder="1" applyFill="1" applyFont="1" applyNumberFormat="1">
      <alignment horizontal="center" vertical="center"/>
    </xf>
    <xf borderId="58" fillId="7" fontId="26" numFmtId="0" xfId="0" applyAlignment="1" applyBorder="1" applyFont="1">
      <alignment horizontal="left" vertical="center"/>
    </xf>
    <xf borderId="0" fillId="0" fontId="5" numFmtId="0" xfId="0" applyAlignment="1" applyFont="1">
      <alignment horizontal="left" readingOrder="0" vertical="center"/>
    </xf>
    <xf borderId="33" fillId="0" fontId="26" numFmtId="0" xfId="0" applyAlignment="1" applyBorder="1" applyFont="1">
      <alignment readingOrder="0" shrinkToFit="0" vertical="center" wrapText="1"/>
    </xf>
    <xf borderId="55" fillId="0" fontId="26" numFmtId="0" xfId="0" applyAlignment="1" applyBorder="1" applyFont="1">
      <alignment readingOrder="0" shrinkToFit="0" vertical="center" wrapText="1"/>
    </xf>
    <xf borderId="7" fillId="9" fontId="57" numFmtId="1" xfId="0" applyAlignment="1" applyBorder="1" applyFont="1" applyNumberFormat="1">
      <alignment horizontal="center" readingOrder="0" vertical="center"/>
    </xf>
    <xf borderId="63" fillId="7" fontId="58" numFmtId="0" xfId="0" applyAlignment="1" applyBorder="1" applyFont="1">
      <alignment horizontal="left" vertical="center"/>
    </xf>
    <xf borderId="7" fillId="10" fontId="57" numFmtId="1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readingOrder="0" vertical="center"/>
    </xf>
    <xf borderId="46" fillId="7" fontId="59" numFmtId="0" xfId="0" applyAlignment="1" applyBorder="1" applyFont="1">
      <alignment horizontal="left" vertical="center"/>
    </xf>
    <xf borderId="57" fillId="0" fontId="48" numFmtId="0" xfId="0" applyAlignment="1" applyBorder="1" applyFont="1">
      <alignment horizontal="center" readingOrder="0" shrinkToFit="0" vertical="center" wrapText="1"/>
    </xf>
    <xf borderId="7" fillId="8" fontId="57" numFmtId="1" xfId="0" applyAlignment="1" applyBorder="1" applyFont="1" applyNumberFormat="1">
      <alignment horizontal="center" vertical="center"/>
    </xf>
    <xf borderId="0" fillId="0" fontId="60" numFmtId="0" xfId="0" applyAlignment="1" applyFont="1">
      <alignment readingOrder="0" vertical="center"/>
    </xf>
    <xf borderId="64" fillId="0" fontId="46" numFmtId="0" xfId="0" applyAlignment="1" applyBorder="1" applyFont="1">
      <alignment horizontal="center" readingOrder="0" shrinkToFit="0" vertical="center" wrapText="1"/>
    </xf>
    <xf borderId="1" fillId="0" fontId="28" numFmtId="0" xfId="0" applyAlignment="1" applyBorder="1" applyFont="1">
      <alignment vertical="center"/>
    </xf>
    <xf borderId="1" fillId="0" fontId="28" numFmtId="0" xfId="0" applyAlignment="1" applyBorder="1" applyFont="1">
      <alignment vertical="center"/>
    </xf>
    <xf borderId="1" fillId="12" fontId="30" numFmtId="164" xfId="0" applyAlignment="1" applyBorder="1" applyFill="1" applyFont="1" applyNumberFormat="1">
      <alignment horizontal="center" vertical="center"/>
    </xf>
    <xf borderId="1" fillId="12" fontId="61" numFmtId="164" xfId="0" applyAlignment="1" applyBorder="1" applyFont="1" applyNumberFormat="1">
      <alignment horizontal="center" vertical="center"/>
    </xf>
    <xf borderId="65" fillId="0" fontId="6" numFmtId="0" xfId="0" applyAlignment="1" applyBorder="1" applyFont="1">
      <alignment vertical="center"/>
    </xf>
    <xf borderId="66" fillId="7" fontId="26" numFmtId="0" xfId="0" applyAlignment="1" applyBorder="1" applyFont="1">
      <alignment horizontal="left" vertical="center"/>
    </xf>
    <xf borderId="57" fillId="0" fontId="28" numFmtId="0" xfId="0" applyAlignment="1" applyBorder="1" applyFont="1">
      <alignment vertical="center"/>
    </xf>
    <xf borderId="7" fillId="12" fontId="57" numFmtId="1" xfId="0" applyAlignment="1" applyBorder="1" applyFont="1" applyNumberFormat="1">
      <alignment horizontal="center" vertical="center"/>
    </xf>
    <xf borderId="7" fillId="13" fontId="57" numFmtId="1" xfId="0" applyAlignment="1" applyBorder="1" applyFill="1" applyFont="1" applyNumberFormat="1">
      <alignment horizontal="center" vertical="center"/>
    </xf>
    <xf borderId="7" fillId="14" fontId="57" numFmtId="1" xfId="0" applyAlignment="1" applyBorder="1" applyFill="1" applyFont="1" applyNumberFormat="1">
      <alignment horizontal="center" vertical="center"/>
    </xf>
    <xf borderId="7" fillId="15" fontId="57" numFmtId="1" xfId="0" applyAlignment="1" applyBorder="1" applyFill="1" applyFont="1" applyNumberFormat="1">
      <alignment horizontal="center" vertical="center"/>
    </xf>
    <xf borderId="7" fillId="0" fontId="48" numFmtId="164" xfId="0" applyAlignment="1" applyBorder="1" applyFont="1" applyNumberFormat="1">
      <alignment horizontal="center" vertical="center"/>
    </xf>
    <xf borderId="7" fillId="12" fontId="57" numFmtId="1" xfId="0" applyAlignment="1" applyBorder="1" applyFont="1" applyNumberFormat="1">
      <alignment horizontal="center" readingOrder="0" vertical="center"/>
    </xf>
    <xf borderId="7" fillId="13" fontId="57" numFmtId="1" xfId="0" applyAlignment="1" applyBorder="1" applyFont="1" applyNumberFormat="1">
      <alignment horizontal="center" readingOrder="0" vertical="center"/>
    </xf>
    <xf borderId="7" fillId="14" fontId="57" numFmtId="1" xfId="0" applyAlignment="1" applyBorder="1" applyFont="1" applyNumberFormat="1">
      <alignment horizontal="center" readingOrder="0" vertical="center"/>
    </xf>
    <xf borderId="7" fillId="0" fontId="48" numFmtId="164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vertical="center"/>
    </xf>
    <xf borderId="59" fillId="0" fontId="28" numFmtId="0" xfId="0" applyAlignment="1" applyBorder="1" applyFont="1">
      <alignment readingOrder="0" shrinkToFit="0" vertical="center" wrapText="1"/>
    </xf>
    <xf borderId="4" fillId="0" fontId="46" numFmtId="0" xfId="0" applyAlignment="1" applyBorder="1" applyFont="1">
      <alignment horizontal="center" readingOrder="0" shrinkToFit="0" vertical="center" wrapText="1"/>
    </xf>
    <xf borderId="0" fillId="4" fontId="62" numFmtId="0" xfId="0" applyAlignment="1" applyFont="1">
      <alignment horizontal="left" readingOrder="0" vertical="center"/>
    </xf>
    <xf borderId="67" fillId="0" fontId="6" numFmtId="0" xfId="0" applyAlignment="1" applyBorder="1" applyFont="1">
      <alignment vertical="center"/>
    </xf>
    <xf borderId="68" fillId="0" fontId="1" numFmtId="0" xfId="0" applyAlignment="1" applyBorder="1" applyFont="1">
      <alignment readingOrder="0" shrinkToFit="0" vertical="center" wrapText="1"/>
    </xf>
    <xf borderId="7" fillId="11" fontId="57" numFmtId="1" xfId="0" applyAlignment="1" applyBorder="1" applyFont="1" applyNumberFormat="1">
      <alignment horizontal="center" readingOrder="0" vertical="center"/>
    </xf>
    <xf borderId="65" fillId="0" fontId="26" numFmtId="0" xfId="0" applyAlignment="1" applyBorder="1" applyFont="1">
      <alignment readingOrder="0" shrinkToFit="0" vertical="center" wrapText="1"/>
    </xf>
    <xf borderId="69" fillId="0" fontId="15" numFmtId="0" xfId="0" applyBorder="1" applyFont="1"/>
    <xf borderId="62" fillId="0" fontId="15" numFmtId="0" xfId="0" applyBorder="1" applyFont="1"/>
    <xf borderId="60" fillId="0" fontId="26" numFmtId="0" xfId="0" applyAlignment="1" applyBorder="1" applyFont="1">
      <alignment readingOrder="0" shrinkToFit="0" vertical="center" wrapText="1"/>
    </xf>
    <xf borderId="61" fillId="0" fontId="26" numFmtId="0" xfId="0" applyAlignment="1" applyBorder="1" applyFont="1">
      <alignment readingOrder="0" shrinkToFit="0" vertical="center" wrapText="1"/>
    </xf>
    <xf borderId="64" fillId="0" fontId="51" numFmtId="0" xfId="0" applyAlignment="1" applyBorder="1" applyFont="1">
      <alignment readingOrder="0" shrinkToFit="0" vertical="center" wrapText="1"/>
    </xf>
    <xf borderId="64" fillId="0" fontId="6" numFmtId="0" xfId="0" applyAlignment="1" applyBorder="1" applyFont="1">
      <alignment horizontal="left" shrinkToFit="0" vertical="center" wrapText="1"/>
    </xf>
    <xf borderId="64" fillId="0" fontId="6" numFmtId="0" xfId="0" applyAlignment="1" applyBorder="1" applyFont="1">
      <alignment horizontal="center" vertical="center"/>
    </xf>
    <xf borderId="64" fillId="0" fontId="48" numFmtId="164" xfId="0" applyAlignment="1" applyBorder="1" applyFont="1" applyNumberFormat="1">
      <alignment horizontal="center" vertical="center"/>
    </xf>
    <xf borderId="64" fillId="0" fontId="52" numFmtId="164" xfId="0" applyAlignment="1" applyBorder="1" applyFont="1" applyNumberFormat="1">
      <alignment horizontal="center" vertical="center"/>
    </xf>
    <xf borderId="65" fillId="0" fontId="48" numFmtId="0" xfId="0" applyAlignment="1" applyBorder="1" applyFont="1">
      <alignment horizontal="center" vertical="center"/>
    </xf>
    <xf borderId="64" fillId="0" fontId="1" numFmtId="0" xfId="0" applyAlignment="1" applyBorder="1" applyFont="1">
      <alignment readingOrder="0" shrinkToFit="0" vertical="center" wrapText="1"/>
    </xf>
    <xf borderId="65" fillId="0" fontId="26" numFmtId="0" xfId="0" applyAlignment="1" applyBorder="1" applyFont="1">
      <alignment horizontal="center" vertical="center"/>
    </xf>
    <xf borderId="40" fillId="0" fontId="26" numFmtId="0" xfId="0" applyAlignment="1" applyBorder="1" applyFont="1">
      <alignment horizontal="center" vertical="center"/>
    </xf>
    <xf borderId="7" fillId="0" fontId="26" numFmtId="1" xfId="0" applyAlignment="1" applyBorder="1" applyFont="1" applyNumberFormat="1">
      <alignment horizontal="center" vertical="center"/>
    </xf>
    <xf borderId="7" fillId="0" fontId="26" numFmtId="1" xfId="0" applyAlignment="1" applyBorder="1" applyFont="1" applyNumberFormat="1">
      <alignment horizontal="center" readingOrder="0" vertical="center"/>
    </xf>
    <xf borderId="64" fillId="0" fontId="28" numFmtId="0" xfId="0" applyAlignment="1" applyBorder="1" applyFont="1">
      <alignment readingOrder="0" shrinkToFit="0" vertical="center" wrapText="1"/>
    </xf>
    <xf borderId="64" fillId="0" fontId="28" numFmtId="0" xfId="0" applyAlignment="1" applyBorder="1" applyFont="1">
      <alignment vertical="center"/>
    </xf>
    <xf borderId="64" fillId="0" fontId="48" numFmtId="0" xfId="0" applyAlignment="1" applyBorder="1" applyFont="1">
      <alignment horizontal="center" readingOrder="0" shrinkToFit="0" vertical="center" wrapText="1"/>
    </xf>
    <xf borderId="7" fillId="0" fontId="46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readingOrder="0" shrinkToFit="0" vertical="center" wrapText="1"/>
    </xf>
    <xf borderId="7" fillId="0" fontId="51" numFmtId="0" xfId="0" applyAlignment="1" applyBorder="1" applyFont="1">
      <alignment readingOrder="0" shrinkToFit="0" vertical="center" wrapText="1"/>
    </xf>
    <xf borderId="7" fillId="0" fontId="48" numFmtId="0" xfId="0" applyAlignment="1" applyBorder="1" applyFont="1">
      <alignment horizontal="center" readingOrder="0" shrinkToFit="0" vertical="center" wrapText="1"/>
    </xf>
    <xf borderId="7" fillId="0" fontId="52" numFmtId="164" xfId="0" applyAlignment="1" applyBorder="1" applyFont="1" applyNumberFormat="1">
      <alignment horizontal="center" vertical="center"/>
    </xf>
    <xf borderId="7" fillId="0" fontId="26" numFmtId="0" xfId="0" applyAlignment="1" applyBorder="1" applyFont="1">
      <alignment horizontal="center" vertical="center"/>
    </xf>
    <xf borderId="7" fillId="7" fontId="17" numFmtId="0" xfId="0" applyAlignment="1" applyBorder="1" applyFont="1">
      <alignment horizontal="left" readingOrder="0" vertical="center"/>
    </xf>
    <xf borderId="7" fillId="7" fontId="52" numFmtId="0" xfId="0" applyAlignment="1" applyBorder="1" applyFont="1">
      <alignment horizontal="left" readingOrder="0" vertical="center"/>
    </xf>
    <xf borderId="8" fillId="4" fontId="62" numFmtId="0" xfId="0" applyAlignment="1" applyBorder="1" applyFont="1">
      <alignment horizontal="left" readingOrder="0" vertical="center"/>
    </xf>
    <xf borderId="7" fillId="0" fontId="28" numFmtId="0" xfId="0" applyAlignment="1" applyBorder="1" applyFont="1">
      <alignment vertical="center"/>
    </xf>
    <xf borderId="7" fillId="12" fontId="30" numFmtId="164" xfId="0" applyAlignment="1" applyBorder="1" applyFont="1" applyNumberFormat="1">
      <alignment horizontal="center" vertical="center"/>
    </xf>
    <xf borderId="7" fillId="12" fontId="61" numFmtId="164" xfId="0" applyAlignment="1" applyBorder="1" applyFont="1" applyNumberFormat="1">
      <alignment horizontal="center" vertical="center"/>
    </xf>
    <xf borderId="70" fillId="7" fontId="26" numFmtId="0" xfId="0" applyAlignment="1" applyBorder="1" applyFont="1">
      <alignment vertical="center"/>
    </xf>
    <xf borderId="7" fillId="15" fontId="57" numFmtId="1" xfId="0" applyAlignment="1" applyBorder="1" applyFont="1" applyNumberFormat="1">
      <alignment horizontal="center" readingOrder="0" vertical="center"/>
    </xf>
    <xf borderId="7" fillId="0" fontId="6" numFmtId="0" xfId="0" applyBorder="1" applyFont="1"/>
    <xf borderId="0" fillId="0" fontId="1" numFmtId="0" xfId="0" applyAlignment="1" applyFont="1">
      <alignment readingOrder="0" shrinkToFit="0" vertical="center" wrapText="1"/>
    </xf>
    <xf borderId="71" fillId="0" fontId="1" numFmtId="0" xfId="0" applyAlignment="1" applyBorder="1" applyFont="1">
      <alignment readingOrder="0" shrinkToFit="0" vertical="center" wrapText="1"/>
    </xf>
    <xf borderId="64" fillId="0" fontId="4" numFmtId="164" xfId="0" applyAlignment="1" applyBorder="1" applyFont="1" applyNumberFormat="1">
      <alignment horizontal="center" vertical="center"/>
    </xf>
    <xf borderId="65" fillId="0" fontId="6" numFmtId="0" xfId="0" applyAlignment="1" applyBorder="1" applyFont="1">
      <alignment vertical="top"/>
    </xf>
    <xf borderId="64" fillId="0" fontId="63" numFmtId="164" xfId="0" applyAlignment="1" applyBorder="1" applyFont="1" applyNumberFormat="1">
      <alignment horizontal="center" vertical="center"/>
    </xf>
    <xf borderId="1" fillId="0" fontId="46" numFmtId="0" xfId="0" applyAlignment="1" applyBorder="1" applyFont="1">
      <alignment horizontal="center" readingOrder="0" shrinkToFit="0" vertical="center" wrapText="1"/>
    </xf>
    <xf borderId="1" fillId="0" fontId="63" numFmtId="164" xfId="0" applyAlignment="1" applyBorder="1" applyFont="1" applyNumberFormat="1">
      <alignment horizontal="center" vertical="center"/>
    </xf>
    <xf borderId="1" fillId="0" fontId="4" numFmtId="164" xfId="0" applyAlignment="1" applyBorder="1" applyFont="1" applyNumberFormat="1">
      <alignment horizontal="center" vertical="center"/>
    </xf>
    <xf borderId="49" fillId="0" fontId="6" numFmtId="0" xfId="0" applyAlignment="1" applyBorder="1" applyFont="1">
      <alignment vertical="top"/>
    </xf>
    <xf borderId="4" fillId="0" fontId="4" numFmtId="1" xfId="0" applyAlignment="1" applyBorder="1" applyFont="1" applyNumberFormat="1">
      <alignment horizontal="center" vertical="center"/>
    </xf>
    <xf borderId="4" fillId="0" fontId="21" numFmtId="1" xfId="0" applyAlignment="1" applyBorder="1" applyFont="1" applyNumberFormat="1">
      <alignment horizontal="center" vertical="center"/>
    </xf>
    <xf borderId="40" fillId="0" fontId="6" numFmtId="0" xfId="0" applyAlignment="1" applyBorder="1" applyFont="1">
      <alignment vertical="top"/>
    </xf>
    <xf borderId="64" fillId="0" fontId="26" numFmtId="0" xfId="0" applyAlignment="1" applyBorder="1" applyFont="1">
      <alignment readingOrder="0" shrinkToFit="0" vertical="center" wrapText="1"/>
    </xf>
    <xf borderId="64" fillId="0" fontId="47" numFmtId="0" xfId="0" applyAlignment="1" applyBorder="1" applyFont="1">
      <alignment readingOrder="0" shrinkToFit="0" vertical="center" wrapText="1"/>
    </xf>
    <xf borderId="64" fillId="0" fontId="6" numFmtId="1" xfId="0" applyAlignment="1" applyBorder="1" applyFont="1" applyNumberFormat="1">
      <alignment horizontal="center" vertical="center"/>
    </xf>
    <xf borderId="7" fillId="0" fontId="6" numFmtId="1" xfId="0" applyAlignment="1" applyBorder="1" applyFont="1" applyNumberFormat="1">
      <alignment horizontal="center" vertical="center"/>
    </xf>
    <xf borderId="7" fillId="8" fontId="64" numFmtId="164" xfId="0" applyAlignment="1" applyBorder="1" applyFont="1" applyNumberFormat="1">
      <alignment horizontal="center"/>
    </xf>
    <xf borderId="7" fillId="9" fontId="64" numFmtId="164" xfId="0" applyAlignment="1" applyBorder="1" applyFont="1" applyNumberFormat="1">
      <alignment horizontal="center"/>
    </xf>
    <xf borderId="7" fillId="10" fontId="64" numFmtId="164" xfId="0" applyAlignment="1" applyBorder="1" applyFont="1" applyNumberFormat="1">
      <alignment horizontal="center"/>
    </xf>
    <xf borderId="7" fillId="11" fontId="64" numFmtId="164" xfId="0" applyAlignment="1" applyBorder="1" applyFont="1" applyNumberFormat="1">
      <alignment horizontal="center"/>
    </xf>
    <xf borderId="8" fillId="0" fontId="6" numFmtId="0" xfId="0" applyAlignment="1" applyBorder="1" applyFont="1">
      <alignment vertical="top"/>
    </xf>
    <xf borderId="10" fillId="7" fontId="65" numFmtId="0" xfId="0" applyAlignment="1" applyBorder="1" applyFont="1">
      <alignment horizontal="left" readingOrder="0" vertical="center"/>
    </xf>
    <xf borderId="57" fillId="0" fontId="47" numFmtId="0" xfId="0" applyAlignment="1" applyBorder="1" applyFont="1">
      <alignment readingOrder="0" shrinkToFit="0" vertical="center" wrapText="1"/>
    </xf>
    <xf borderId="10" fillId="7" fontId="66" numFmtId="0" xfId="0" applyAlignment="1" applyBorder="1" applyFont="1">
      <alignment horizontal="left" readingOrder="0" vertical="center"/>
    </xf>
    <xf borderId="8" fillId="0" fontId="17" numFmtId="0" xfId="0" applyAlignment="1" applyBorder="1" applyFont="1">
      <alignment vertical="top"/>
    </xf>
    <xf borderId="46" fillId="7" fontId="67" numFmtId="0" xfId="0" applyAlignment="1" applyBorder="1" applyFont="1">
      <alignment horizontal="left" vertical="center"/>
    </xf>
    <xf borderId="46" fillId="7" fontId="17" numFmtId="0" xfId="0" applyAlignment="1" applyBorder="1" applyFont="1">
      <alignment horizontal="left" vertical="center"/>
    </xf>
    <xf borderId="64" fillId="0" fontId="54" numFmtId="164" xfId="0" applyAlignment="1" applyBorder="1" applyFont="1" applyNumberFormat="1">
      <alignment horizontal="center" vertical="center"/>
    </xf>
    <xf borderId="64" fillId="16" fontId="6" numFmtId="1" xfId="0" applyAlignment="1" applyBorder="1" applyFill="1" applyFont="1" applyNumberFormat="1">
      <alignment horizontal="center" vertical="center"/>
    </xf>
    <xf borderId="7" fillId="16" fontId="6" numFmtId="1" xfId="0" applyAlignment="1" applyBorder="1" applyFont="1" applyNumberFormat="1">
      <alignment horizontal="center" vertical="center"/>
    </xf>
    <xf borderId="7" fillId="0" fontId="4" numFmtId="1" xfId="0" applyAlignment="1" applyBorder="1" applyFont="1" applyNumberFormat="1">
      <alignment horizontal="center" vertical="center"/>
    </xf>
    <xf borderId="7" fillId="0" fontId="21" numFmtId="1" xfId="0" applyAlignment="1" applyBorder="1" applyFont="1" applyNumberFormat="1">
      <alignment horizontal="center" vertical="center"/>
    </xf>
    <xf borderId="8" fillId="0" fontId="68" numFmtId="0" xfId="0" applyAlignment="1" applyBorder="1" applyFont="1">
      <alignment vertical="top"/>
    </xf>
    <xf borderId="46" fillId="7" fontId="69" numFmtId="0" xfId="0" applyAlignment="1" applyBorder="1" applyFont="1">
      <alignment horizontal="left" vertical="center"/>
    </xf>
    <xf borderId="7" fillId="0" fontId="26" numFmtId="0" xfId="0" applyAlignment="1" applyBorder="1" applyFont="1">
      <alignment readingOrder="0" shrinkToFit="0" vertical="center" wrapText="1"/>
    </xf>
    <xf borderId="1" fillId="0" fontId="70" numFmtId="0" xfId="0" applyAlignment="1" applyBorder="1" applyFont="1">
      <alignment readingOrder="0" shrinkToFit="0" vertical="center" wrapText="1"/>
    </xf>
    <xf borderId="49" fillId="0" fontId="70" numFmtId="0" xfId="0" applyAlignment="1" applyBorder="1" applyFont="1">
      <alignment readingOrder="0" shrinkToFit="0" vertical="center" wrapText="1"/>
    </xf>
    <xf borderId="4" fillId="0" fontId="48" numFmtId="0" xfId="0" applyAlignment="1" applyBorder="1" applyFont="1">
      <alignment shrinkToFit="0" vertical="center" wrapText="1"/>
    </xf>
    <xf borderId="64" fillId="5" fontId="6" numFmtId="1" xfId="0" applyAlignment="1" applyBorder="1" applyFont="1" applyNumberFormat="1">
      <alignment horizontal="center" vertical="center"/>
    </xf>
    <xf borderId="7" fillId="5" fontId="6" numFmtId="1" xfId="0" applyAlignment="1" applyBorder="1" applyFont="1" applyNumberFormat="1">
      <alignment horizontal="center" vertical="center"/>
    </xf>
    <xf borderId="8" fillId="0" fontId="6" numFmtId="0" xfId="0" applyBorder="1" applyFont="1"/>
    <xf borderId="4" fillId="0" fontId="26" numFmtId="0" xfId="0" applyAlignment="1" applyBorder="1" applyFont="1">
      <alignment shrinkToFit="0" vertical="center" wrapText="1"/>
    </xf>
    <xf borderId="4" fillId="0" fontId="47" numFmtId="0" xfId="0" applyAlignment="1" applyBorder="1" applyFont="1">
      <alignment shrinkToFit="0" vertical="center" wrapText="1"/>
    </xf>
    <xf borderId="4" fillId="0" fontId="6" numFmtId="1" xfId="0" applyAlignment="1" applyBorder="1" applyFont="1" applyNumberFormat="1">
      <alignment horizontal="left" shrinkToFit="0" vertical="center" wrapText="1"/>
    </xf>
    <xf borderId="4" fillId="0" fontId="26" numFmtId="0" xfId="0" applyAlignment="1" applyBorder="1" applyFont="1">
      <alignment readingOrder="0" shrinkToFit="0" vertical="center" wrapText="1"/>
    </xf>
    <xf borderId="4" fillId="0" fontId="47" numFmtId="0" xfId="0" applyAlignment="1" applyBorder="1" applyFont="1">
      <alignment readingOrder="0" shrinkToFit="0" vertical="center" wrapText="1"/>
    </xf>
    <xf borderId="8" fillId="0" fontId="46" numFmtId="49" xfId="0" applyAlignment="1" applyBorder="1" applyFont="1" applyNumberFormat="1">
      <alignment horizontal="center" readingOrder="0" shrinkToFit="0" vertical="center" wrapText="1"/>
    </xf>
    <xf borderId="64" fillId="0" fontId="6" numFmtId="0" xfId="0" applyAlignment="1" applyBorder="1" applyFont="1">
      <alignment readingOrder="0" shrinkToFit="0" vertical="center" wrapText="1"/>
    </xf>
    <xf borderId="7" fillId="0" fontId="6" numFmtId="0" xfId="0" applyAlignment="1" applyBorder="1" applyFont="1">
      <alignment readingOrder="0" shrinkToFit="0" vertical="center" wrapText="1"/>
    </xf>
    <xf borderId="7" fillId="0" fontId="6" numFmtId="0" xfId="0" applyAlignment="1" applyBorder="1" applyFont="1">
      <alignment horizontal="center" readingOrder="0" shrinkToFit="0" vertical="center" wrapText="1"/>
    </xf>
    <xf borderId="64" fillId="0" fontId="70" numFmtId="0" xfId="0" applyAlignment="1" applyBorder="1" applyFont="1">
      <alignment readingOrder="0" shrinkToFit="0" vertical="center" wrapText="1"/>
    </xf>
    <xf borderId="7" fillId="0" fontId="70" numFmtId="0" xfId="0" applyAlignment="1" applyBorder="1" applyFont="1">
      <alignment readingOrder="0" shrinkToFit="0" vertical="center" wrapText="1"/>
    </xf>
    <xf borderId="64" fillId="0" fontId="50" numFmtId="164" xfId="0" applyAlignment="1" applyBorder="1" applyFont="1" applyNumberFormat="1">
      <alignment horizontal="center" vertical="center"/>
    </xf>
    <xf borderId="7" fillId="0" fontId="17" numFmtId="0" xfId="0" applyAlignment="1" applyBorder="1" applyFont="1">
      <alignment horizontal="center" vertical="center"/>
    </xf>
    <xf borderId="64" fillId="0" fontId="71" numFmtId="0" xfId="0" applyBorder="1" applyFont="1"/>
    <xf borderId="7" fillId="0" fontId="71" numFmtId="0" xfId="0" applyBorder="1" applyFont="1"/>
    <xf borderId="64" fillId="0" fontId="72" numFmtId="0" xfId="0" applyBorder="1" applyFont="1"/>
    <xf borderId="57" fillId="0" fontId="26" numFmtId="0" xfId="0" applyAlignment="1" applyBorder="1" applyFont="1">
      <alignment horizontal="center" readingOrder="0" shrinkToFit="0" vertical="center" wrapText="1"/>
    </xf>
    <xf borderId="72" fillId="0" fontId="47" numFmtId="0" xfId="0" applyAlignment="1" applyBorder="1" applyFont="1">
      <alignment readingOrder="0" shrinkToFit="0" vertical="center" wrapText="1"/>
    </xf>
    <xf borderId="7" fillId="0" fontId="26" numFmtId="0" xfId="0" applyAlignment="1" applyBorder="1" applyFont="1">
      <alignment horizontal="center" readingOrder="0" shrinkToFit="0" vertical="center" wrapText="1"/>
    </xf>
    <xf borderId="7" fillId="0" fontId="73" numFmtId="0" xfId="0" applyAlignment="1" applyBorder="1" applyFont="1">
      <alignment horizontal="center" shrinkToFit="0" vertical="center" wrapText="1"/>
    </xf>
    <xf borderId="7" fillId="0" fontId="6" numFmtId="1" xfId="0" applyAlignment="1" applyBorder="1" applyFont="1" applyNumberFormat="1">
      <alignment horizontal="left" shrinkToFit="0" vertical="center" wrapText="1"/>
    </xf>
    <xf borderId="7" fillId="0" fontId="26" numFmtId="1" xfId="0" applyAlignment="1" applyBorder="1" applyFont="1" applyNumberFormat="1">
      <alignment horizontal="left" vertical="center"/>
    </xf>
    <xf borderId="7" fillId="0" fontId="74" numFmtId="0" xfId="0" applyAlignment="1" applyBorder="1" applyFont="1">
      <alignment readingOrder="0" shrinkToFit="0" vertical="center" wrapText="1"/>
    </xf>
    <xf borderId="7" fillId="0" fontId="4" numFmtId="0" xfId="0" applyAlignment="1" applyBorder="1" applyFont="1">
      <alignment horizontal="right" vertical="center"/>
    </xf>
    <xf borderId="7" fillId="0" fontId="21" numFmtId="0" xfId="0" applyAlignment="1" applyBorder="1" applyFont="1">
      <alignment horizontal="right" vertical="center"/>
    </xf>
    <xf borderId="0" fillId="0" fontId="37" numFmtId="0" xfId="0" applyAlignment="1" applyFont="1">
      <alignment horizontal="center" vertical="center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48" numFmtId="0" xfId="0" applyAlignment="1" applyFont="1">
      <alignment vertical="center"/>
    </xf>
    <xf borderId="0" fillId="0" fontId="21" numFmtId="0" xfId="0" applyAlignment="1" applyFont="1">
      <alignment vertical="center"/>
    </xf>
    <xf borderId="63" fillId="0" fontId="6" numFmtId="0" xfId="0" applyAlignment="1" applyBorder="1" applyFont="1">
      <alignment horizontal="left" vertical="center"/>
    </xf>
    <xf borderId="0" fillId="0" fontId="4" numFmtId="0" xfId="0" applyAlignment="1" applyFont="1">
      <alignment horizontal="left" vertical="center"/>
    </xf>
    <xf borderId="0" fillId="0" fontId="25" numFmtId="0" xfId="0" applyAlignment="1" applyFont="1">
      <alignment horizontal="center" vertical="center"/>
    </xf>
    <xf borderId="0" fillId="0" fontId="7" numFmtId="0" xfId="0" applyAlignment="1" applyFont="1">
      <alignment shrinkToFit="0" wrapText="1"/>
    </xf>
    <xf borderId="0" fillId="0" fontId="60" numFmtId="0" xfId="0" applyFont="1"/>
    <xf borderId="0" fillId="0" fontId="75" numFmtId="0" xfId="0" applyAlignment="1" applyFont="1">
      <alignment horizontal="center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200">
                <a:solidFill>
                  <a:srgbClr val="B7B7B7"/>
                </a:solidFill>
                <a:latin typeface="+mn-lt"/>
              </a:defRPr>
            </a:pPr>
            <a:r>
              <a:rPr b="0" sz="1200">
                <a:solidFill>
                  <a:srgbClr val="B7B7B7"/>
                </a:solidFill>
                <a:latin typeface="+mn-lt"/>
              </a:rPr>
              <a:t>Your BI maturity by factors</a:t>
            </a:r>
          </a:p>
        </c:rich>
      </c:tx>
      <c:layout>
        <c:manualLayout>
          <c:xMode val="edge"/>
          <c:yMode val="edge"/>
          <c:x val="0.03125122195989623"/>
          <c:y val="0.03265804145456388"/>
        </c:manualLayout>
      </c:layout>
      <c:overlay val="0"/>
    </c:title>
    <c:plotArea>
      <c:layout>
        <c:manualLayout>
          <c:xMode val="edge"/>
          <c:yMode val="edge"/>
          <c:x val="0.04095354523227385"/>
          <c:y val="0.09753086419753089"/>
          <c:w val="0.9366583950662338"/>
          <c:h val="0.7113771817794806"/>
        </c:manualLayout>
      </c:layout>
      <c:barChart>
        <c:barDir val="col"/>
        <c:ser>
          <c:idx val="0"/>
          <c:order val="0"/>
          <c:tx>
            <c:v>Your Company</c:v>
          </c:tx>
          <c:spPr>
            <a:solidFill>
              <a:srgbClr val="999999"/>
            </a:solidFill>
            <a:ln cmpd="sng">
              <a:noFill/>
            </a:ln>
          </c:spPr>
          <c:dPt>
            <c:idx val="7"/>
          </c:dPt>
          <c:dPt>
            <c:idx val="9"/>
          </c:dPt>
          <c:dPt>
            <c:idx val="10"/>
          </c:dPt>
          <c:dLbls>
            <c:numFmt formatCode="General" sourceLinked="1"/>
            <c:txPr>
              <a:bodyPr/>
              <a:lstStyle/>
              <a:p>
                <a:pPr lvl="0">
                  <a:defRPr b="0" i="0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'BI Project Health Check'!$B$14:$B$22</c:f>
            </c:strRef>
          </c:cat>
          <c:val>
            <c:numRef>
              <c:f>'BI Project Health Check'!$J$14:$J$22</c:f>
              <c:numCache/>
            </c:numRef>
          </c:val>
        </c:ser>
        <c:axId val="1065438043"/>
        <c:axId val="1878712342"/>
      </c:barChart>
      <c:areaChart>
        <c:ser>
          <c:idx val="1"/>
          <c:order val="1"/>
          <c:tx>
            <c:v>Level 4</c:v>
          </c:tx>
          <c:spPr>
            <a:solidFill>
              <a:srgbClr val="54AF6B">
                <a:alpha val="0"/>
              </a:srgbClr>
            </a:solidFill>
            <a:ln cmpd="sng" w="19050">
              <a:solidFill>
                <a:srgbClr val="54AF6B">
                  <a:alpha val="100000"/>
                </a:srgbClr>
              </a:solidFill>
              <a:prstDash val="sysDot"/>
            </a:ln>
          </c:spPr>
          <c:cat>
            <c:strRef>
              <c:f>'BI Project Health Check'!$B$14:$B$22</c:f>
            </c:strRef>
          </c:cat>
          <c:val>
            <c:numRef>
              <c:f>'BI Project Health Check'!$O$14:$O$22</c:f>
              <c:numCache/>
            </c:numRef>
          </c:val>
        </c:ser>
        <c:ser>
          <c:idx val="2"/>
          <c:order val="2"/>
          <c:tx>
            <c:v>Level 3</c:v>
          </c:tx>
          <c:spPr>
            <a:solidFill>
              <a:srgbClr val="37C8B3">
                <a:alpha val="5000"/>
              </a:srgbClr>
            </a:solidFill>
            <a:ln cmpd="sng" w="19050">
              <a:solidFill>
                <a:srgbClr val="37C8B3">
                  <a:alpha val="100000"/>
                </a:srgbClr>
              </a:solidFill>
              <a:prstDash val="sysDot"/>
            </a:ln>
          </c:spPr>
          <c:cat>
            <c:strRef>
              <c:f>'BI Project Health Check'!$B$14:$B$22</c:f>
            </c:strRef>
          </c:cat>
          <c:val>
            <c:numRef>
              <c:f>'BI Project Health Check'!$N$14:$N$22</c:f>
              <c:numCache/>
            </c:numRef>
          </c:val>
        </c:ser>
        <c:ser>
          <c:idx val="3"/>
          <c:order val="3"/>
          <c:tx>
            <c:v>Level 2</c:v>
          </c:tx>
          <c:spPr>
            <a:solidFill>
              <a:srgbClr val="6D9EEB">
                <a:alpha val="10000"/>
              </a:srgbClr>
            </a:solidFill>
            <a:ln cmpd="sng" w="19050">
              <a:solidFill>
                <a:srgbClr val="6D9EEB">
                  <a:alpha val="100000"/>
                </a:srgbClr>
              </a:solidFill>
              <a:prstDash val="sysDot"/>
            </a:ln>
          </c:spPr>
          <c:cat>
            <c:strRef>
              <c:f>'BI Project Health Check'!$B$14:$B$22</c:f>
            </c:strRef>
          </c:cat>
          <c:val>
            <c:numRef>
              <c:f>'BI Project Health Check'!$M$14:$M$22</c:f>
              <c:numCache/>
            </c:numRef>
          </c:val>
        </c:ser>
        <c:ser>
          <c:idx val="4"/>
          <c:order val="4"/>
          <c:tx>
            <c:v>Level 1</c:v>
          </c:tx>
          <c:spPr>
            <a:solidFill>
              <a:srgbClr val="7E4CDD">
                <a:alpha val="10000"/>
              </a:srgbClr>
            </a:solidFill>
            <a:ln cmpd="sng" w="19050">
              <a:solidFill>
                <a:srgbClr val="7E4CDD">
                  <a:alpha val="100000"/>
                </a:srgbClr>
              </a:solidFill>
              <a:prstDash val="sysDot"/>
            </a:ln>
          </c:spPr>
          <c:cat>
            <c:strRef>
              <c:f>'BI Project Health Check'!$B$14:$B$22</c:f>
            </c:strRef>
          </c:cat>
          <c:val>
            <c:numRef>
              <c:f>'BI Project Health Check'!$L$14:$L$22</c:f>
              <c:numCache/>
            </c:numRef>
          </c:val>
        </c:ser>
        <c:ser>
          <c:idx val="5"/>
          <c:order val="5"/>
          <c:tx>
            <c:v>1 Year Target</c:v>
          </c:tx>
          <c:spPr>
            <a:solidFill>
              <a:srgbClr val="46BDC6">
                <a:alpha val="20000"/>
              </a:srgbClr>
            </a:solidFill>
            <a:ln cmpd="sng">
              <a:solidFill>
                <a:srgbClr val="46BDC6">
                  <a:alpha val="100000"/>
                </a:srgbClr>
              </a:solidFill>
            </a:ln>
          </c:spPr>
          <c:cat>
            <c:strRef>
              <c:f>'BI Project Health Check'!$B$14:$B$22</c:f>
            </c:strRef>
          </c:cat>
          <c:val>
            <c:numRef>
              <c:f>'BI Project Health Check'!$Q$14:$Q$22</c:f>
              <c:numCache/>
            </c:numRef>
          </c:val>
        </c:ser>
        <c:axId val="1065438043"/>
        <c:axId val="1878712342"/>
      </c:areaChart>
      <c:catAx>
        <c:axId val="10654380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0"/>
          <a:lstStyle/>
          <a:p>
            <a:pPr lvl="0">
              <a:defRPr b="0" i="0" sz="1300">
                <a:solidFill>
                  <a:srgbClr val="434343"/>
                </a:solidFill>
                <a:latin typeface="Arial"/>
              </a:defRPr>
            </a:pPr>
          </a:p>
        </c:txPr>
        <c:crossAx val="1878712342"/>
      </c:catAx>
      <c:valAx>
        <c:axId val="1878712342"/>
        <c:scaling>
          <c:orientation val="minMax"/>
          <c:max val="4.1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CCCCCC"/>
                </a:solidFill>
                <a:latin typeface="+mn-lt"/>
              </a:defRPr>
            </a:pPr>
          </a:p>
        </c:txPr>
        <c:crossAx val="1065438043"/>
      </c:valAx>
    </c:plotArea>
    <c:legend>
      <c:legendPos val="t"/>
      <c:layout>
        <c:manualLayout>
          <c:xMode val="edge"/>
          <c:yMode val="edge"/>
          <c:x val="0.3928754950410212"/>
          <c:y val="0.03323360778239723"/>
        </c:manualLayout>
      </c:layout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200">
                <a:solidFill>
                  <a:srgbClr val="B7B7B7"/>
                </a:solidFill>
                <a:latin typeface="+mn-lt"/>
              </a:defRPr>
            </a:pPr>
            <a:r>
              <a:rPr b="0" sz="1200">
                <a:solidFill>
                  <a:srgbClr val="B7B7B7"/>
                </a:solidFill>
                <a:latin typeface="+mn-lt"/>
              </a:rPr>
              <a:t> You BI maturity by solution areas</a:t>
            </a:r>
          </a:p>
        </c:rich>
      </c:tx>
      <c:layout>
        <c:manualLayout>
          <c:xMode val="edge"/>
          <c:yMode val="edge"/>
          <c:x val="0.034162518601435224"/>
          <c:y val="0.026244408045138928"/>
        </c:manualLayout>
      </c:layout>
      <c:overlay val="0"/>
    </c:title>
    <c:plotArea>
      <c:layout>
        <c:manualLayout>
          <c:xMode val="edge"/>
          <c:yMode val="edge"/>
          <c:x val="0.040953545232273854"/>
          <c:y val="0.09753086419753089"/>
          <c:w val="0.9366583950662337"/>
          <c:h val="0.7171243082162622"/>
        </c:manualLayout>
      </c:layout>
      <c:barChart>
        <c:barDir val="col"/>
        <c:ser>
          <c:idx val="0"/>
          <c:order val="0"/>
          <c:tx>
            <c:v>Your Company</c:v>
          </c:tx>
          <c:spPr>
            <a:solidFill>
              <a:srgbClr val="999999"/>
            </a:solidFill>
            <a:ln cmpd="sng">
              <a:noFill/>
            </a:ln>
          </c:spPr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Lbls>
            <c:numFmt formatCode="General" sourceLinked="1"/>
            <c:txPr>
              <a:bodyPr/>
              <a:lstStyle/>
              <a:p>
                <a:pPr lvl="0">
                  <a:defRPr b="0" i="0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'BI Project Health Check'!$B$25:$B$31</c:f>
            </c:strRef>
          </c:cat>
          <c:val>
            <c:numRef>
              <c:f>'BI Project Health Check'!$J$25:$J$31</c:f>
              <c:numCache/>
            </c:numRef>
          </c:val>
        </c:ser>
        <c:axId val="1614468210"/>
        <c:axId val="1964003342"/>
      </c:barChart>
      <c:areaChart>
        <c:ser>
          <c:idx val="1"/>
          <c:order val="1"/>
          <c:tx>
            <c:v>Level 4</c:v>
          </c:tx>
          <c:spPr>
            <a:solidFill>
              <a:srgbClr val="54AF6B">
                <a:alpha val="0"/>
              </a:srgbClr>
            </a:solidFill>
            <a:ln cmpd="sng" w="19050">
              <a:solidFill>
                <a:srgbClr val="54AF6B">
                  <a:alpha val="100000"/>
                </a:srgbClr>
              </a:solidFill>
              <a:prstDash val="sysDot"/>
            </a:ln>
          </c:spPr>
          <c:cat>
            <c:strRef>
              <c:f>'BI Project Health Check'!$B$25:$B$31</c:f>
            </c:strRef>
          </c:cat>
          <c:val>
            <c:numRef>
              <c:f>'BI Project Health Check'!$O$25:$O$31</c:f>
              <c:numCache/>
            </c:numRef>
          </c:val>
        </c:ser>
        <c:ser>
          <c:idx val="2"/>
          <c:order val="2"/>
          <c:tx>
            <c:v>Level 3</c:v>
          </c:tx>
          <c:spPr>
            <a:solidFill>
              <a:srgbClr val="37C8B3">
                <a:alpha val="5000"/>
              </a:srgbClr>
            </a:solidFill>
            <a:ln cmpd="sng" w="19050">
              <a:solidFill>
                <a:srgbClr val="37C8B3">
                  <a:alpha val="100000"/>
                </a:srgbClr>
              </a:solidFill>
              <a:prstDash val="sysDot"/>
            </a:ln>
          </c:spPr>
          <c:cat>
            <c:strRef>
              <c:f>'BI Project Health Check'!$B$25:$B$31</c:f>
            </c:strRef>
          </c:cat>
          <c:val>
            <c:numRef>
              <c:f>'BI Project Health Check'!$N$25:$N$31</c:f>
              <c:numCache/>
            </c:numRef>
          </c:val>
        </c:ser>
        <c:ser>
          <c:idx val="3"/>
          <c:order val="3"/>
          <c:tx>
            <c:v>Level 2</c:v>
          </c:tx>
          <c:spPr>
            <a:solidFill>
              <a:srgbClr val="2FB1D9">
                <a:alpha val="10000"/>
              </a:srgbClr>
            </a:solidFill>
            <a:ln cmpd="sng" w="19050">
              <a:solidFill>
                <a:srgbClr val="2FB1D9">
                  <a:alpha val="100000"/>
                </a:srgbClr>
              </a:solidFill>
              <a:prstDash val="sysDot"/>
            </a:ln>
          </c:spPr>
          <c:cat>
            <c:strRef>
              <c:f>'BI Project Health Check'!$B$25:$B$31</c:f>
            </c:strRef>
          </c:cat>
          <c:val>
            <c:numRef>
              <c:f>'BI Project Health Check'!$M$25:$M$31</c:f>
              <c:numCache/>
            </c:numRef>
          </c:val>
        </c:ser>
        <c:ser>
          <c:idx val="4"/>
          <c:order val="4"/>
          <c:tx>
            <c:v>Level 1</c:v>
          </c:tx>
          <c:spPr>
            <a:solidFill>
              <a:srgbClr val="7E4CDD">
                <a:alpha val="10000"/>
              </a:srgbClr>
            </a:solidFill>
            <a:ln cmpd="sng" w="19050">
              <a:solidFill>
                <a:srgbClr val="7E4CDD">
                  <a:alpha val="100000"/>
                </a:srgbClr>
              </a:solidFill>
              <a:prstDash val="sysDot"/>
            </a:ln>
          </c:spPr>
          <c:cat>
            <c:strRef>
              <c:f>'BI Project Health Check'!$B$25:$B$31</c:f>
            </c:strRef>
          </c:cat>
          <c:val>
            <c:numRef>
              <c:f>'BI Project Health Check'!$L$25:$L$31</c:f>
              <c:numCache/>
            </c:numRef>
          </c:val>
        </c:ser>
        <c:ser>
          <c:idx val="5"/>
          <c:order val="5"/>
          <c:tx>
            <c:v>1 Year Target</c:v>
          </c:tx>
          <c:spPr>
            <a:solidFill>
              <a:schemeClr val="accent6">
                <a:alpha val="20000"/>
              </a:schemeClr>
            </a:solidFill>
            <a:ln cmpd="sng">
              <a:solidFill>
                <a:schemeClr val="accent6"/>
              </a:solidFill>
            </a:ln>
          </c:spPr>
          <c:cat>
            <c:strRef>
              <c:f>'BI Project Health Check'!$B$25:$B$31</c:f>
            </c:strRef>
          </c:cat>
          <c:val>
            <c:numRef>
              <c:f>'BI Project Health Check'!$Q$25:$Q$31</c:f>
              <c:numCache/>
            </c:numRef>
          </c:val>
        </c:ser>
        <c:axId val="1614468210"/>
        <c:axId val="1964003342"/>
      </c:areaChart>
      <c:catAx>
        <c:axId val="16144682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0"/>
          <a:lstStyle/>
          <a:p>
            <a:pPr lvl="0">
              <a:defRPr b="0" i="0" sz="1300">
                <a:solidFill>
                  <a:srgbClr val="434343"/>
                </a:solidFill>
                <a:latin typeface="Arial"/>
              </a:defRPr>
            </a:pPr>
          </a:p>
        </c:txPr>
        <c:crossAx val="1964003342"/>
      </c:catAx>
      <c:valAx>
        <c:axId val="1964003342"/>
        <c:scaling>
          <c:orientation val="minMax"/>
          <c:max val="4.1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CCCCCC"/>
                </a:solidFill>
                <a:latin typeface="+mn-lt"/>
              </a:defRPr>
            </a:pPr>
          </a:p>
        </c:txPr>
        <c:crossAx val="1614468210"/>
      </c:valAx>
    </c:plotArea>
    <c:legend>
      <c:legendPos val="t"/>
      <c:layout>
        <c:manualLayout>
          <c:xMode val="edge"/>
          <c:yMode val="edge"/>
          <c:x val="0.38047286075768405"/>
          <c:y val="0.02769781091342521"/>
        </c:manualLayout>
      </c:layout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4</xdr:row>
      <xdr:rowOff>9525</xdr:rowOff>
    </xdr:from>
    <xdr:ext cx="9382125" cy="3314700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3962400</xdr:colOff>
      <xdr:row>4</xdr:row>
      <xdr:rowOff>9525</xdr:rowOff>
    </xdr:from>
    <xdr:ext cx="7219950" cy="33147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2695575</xdr:colOff>
      <xdr:row>0</xdr:row>
      <xdr:rowOff>104775</xdr:rowOff>
    </xdr:from>
    <xdr:ext cx="533400" cy="49530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381000</xdr:colOff>
      <xdr:row>1</xdr:row>
      <xdr:rowOff>171450</xdr:rowOff>
    </xdr:from>
    <xdr:ext cx="504825" cy="466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astasiya Kuznetsova" id="{5bb81d34-8550-4b84-af9e-3650925f52d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92" dT="2024-10-13T12:00:13.00" personId="{5bb81d34-8550-4b84-af9e-3650925f52d5}" id="{b129eaf4-d9a3-489e-93ea-7fcefa02d32f}" done="0">
    <x18tc:text xml:space="preserve">мне кажется тут слишком крутое начало, сразу семантический слой, сначала б бизнес глоссарий хоть какой-то, ci/cdтоже часто первичнее семантич слоя
короч хчоется от простого к сложному</x18tc:text>
  </x18tc:threadedComment>
  <x18tc:threadedComment ref="C123" dT="2024-10-13T12:01:46.00" personId="{5bb81d34-8550-4b84-af9e-3650925f52d5}" id="{dfb5b694-4342-48f3-9d22-821adf4a2f70}" done="0">
    <x18tc:text xml:space="preserve">мб делаются ли бэкапы...</x18tc:text>
  </x18tc:threadedComment>
  <x18tc:threadedComment ref="C101" dT="2024-10-13T12:00:53.00" personId="{5bb81d34-8550-4b84-af9e-3650925f52d5}" id="{ee00cdcb-9069-4413-af66-4858168c1ff4}" done="0">
    <x18tc:text xml:space="preserve">где-то BI system где-то BI platform но кажется часто понимаются как одно и то же</x18tc:text>
  </x18tc:threadedComment>
  <x18tc:threadedComment ref="C68" dT="2024-10-13T11:57:49.00" personId="{5bb81d34-8550-4b84-af9e-3650925f52d5}" id="{ea3c827c-c706-4476-9a0f-20a0eea5fe78}" done="0">
    <x18tc:text xml:space="preserve">ожидала тут тоже вопрос-раскрытие)</x18tc:text>
  </x18tc:threadedComment>
  <x18tc:threadedComment ref="C134" dT="2024-10-13T12:02:15.00" personId="{5bb81d34-8550-4b84-af9e-3650925f52d5}" id="{3ed6d617-cbd5-4561-9255-dccd9dee3330}" done="0">
    <x18tc:text xml:space="preserve">не понимаю,и как это в проджект менеджмент</x18tc:text>
  </x18tc:threadedComment>
  <x18tc:threadedComment ref="C72" dT="2024-10-13T11:58:20.00" personId="{5bb81d34-8550-4b84-af9e-3650925f52d5}" id="{92d99704-be20-42b0-a65b-4106647432de}" done="0">
    <x18tc:text xml:space="preserve">оч хочется больное, что нет мастер сорсов для self-service и мб что-то про обучение sql еще</x18tc:text>
  </x18tc:threadedComment>
  <x18tc:threadedComment ref="B81" dT="2024-10-13T11:59:13.00" personId="{5bb81d34-8550-4b84-af9e-3650925f52d5}" id="{143aa13e-c449-4112-be6d-b8cf8ee4662d}" done="0">
    <x18tc:text xml:space="preserve">как будто дзесь тоже хчоется про рассылки/алертинг нслак почта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miro.com/app/board/uXjVMti4FYE=/" TargetMode="External"/><Relationship Id="rId11" Type="http://schemas.openxmlformats.org/officeDocument/2006/relationships/hyperlink" Target="https://data-nature.com/ignoringfeedback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miro.com/app/board/uXjVMwfTA5Q=/?moveToWidget=3458764566280689940&amp;cot=14" TargetMode="External"/><Relationship Id="rId21" Type="http://schemas.openxmlformats.org/officeDocument/2006/relationships/hyperlink" Target="https://medium.com/tag/data-literacy/recommended" TargetMode="External"/><Relationship Id="rId13" Type="http://schemas.openxmlformats.org/officeDocument/2006/relationships/hyperlink" Target="https://www.amazon.com/Chief-Data-Officer-Handbook-Governance/dp/158347417X?crid=2VMCSXJP0BENX&amp;keywords=The+Chief+Data+Officer+Handbook+for+Data+Governance&amp;qid=1677497567&amp;sprefix=the+chief+data+officer+handbook+for+data+governance,aps,466&amp;sr=8-1&amp;linkCode=sl1&amp;tag=benfarrell-20&amp;linkId=d1a910eee87e486a6a0b10fcf184e4cb&amp;language=en_US&amp;ref_=as_li_ss_tl" TargetMode="External"/><Relationship Id="rId12" Type="http://schemas.openxmlformats.org/officeDocument/2006/relationships/hyperlink" Target="https://miro.com/app/board/uXjVMqqPhjM=/" TargetMode="External"/><Relationship Id="rId23" Type="http://schemas.openxmlformats.org/officeDocument/2006/relationships/vmlDrawing" Target="../drawings/vmlDrawing1.vm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s3.amazonaws.com/eckerson/content_assets/assets/000/000/260/original/03192020_How_to_Succeed_with_Self-Service_Analytics_v3.pdf?1584972218" TargetMode="External"/><Relationship Id="rId9" Type="http://schemas.openxmlformats.org/officeDocument/2006/relationships/hyperlink" Target="https://miro.com/app/board/uXjVMwfTA5Q=/" TargetMode="External"/><Relationship Id="rId15" Type="http://schemas.openxmlformats.org/officeDocument/2006/relationships/hyperlink" Target="https://www.uber.com/en-BG/blog/d3-an-automated-system-to-detect-data-drifts/" TargetMode="External"/><Relationship Id="rId14" Type="http://schemas.openxmlformats.org/officeDocument/2006/relationships/hyperlink" Target="https://datamanagement.wiki/overview/overview_data_quality_management_system" TargetMode="External"/><Relationship Id="rId17" Type="http://schemas.openxmlformats.org/officeDocument/2006/relationships/hyperlink" Target="https://medium.com/tag/data-mesh" TargetMode="External"/><Relationship Id="rId16" Type="http://schemas.openxmlformats.org/officeDocument/2006/relationships/hyperlink" Target="https://miro.com/app/board/uXjVMveo0ls=/" TargetMode="External"/><Relationship Id="rId5" Type="http://schemas.openxmlformats.org/officeDocument/2006/relationships/hyperlink" Target="https://s3.amazonaws.com/eckerson/content_assets/assets/000/000/091/original/EckersonGroup__ReferenceArchitectureforSelf-Service_Final_083116.pdf?1472745107" TargetMode="External"/><Relationship Id="rId19" Type="http://schemas.openxmlformats.org/officeDocument/2006/relationships/hyperlink" Target="https://miro.com/app/board/uXjVOH6twMo=/?moveToWidget=3458764567569979486&amp;cot=14" TargetMode="External"/><Relationship Id="rId6" Type="http://schemas.openxmlformats.org/officeDocument/2006/relationships/hyperlink" Target="https://miro.com/app/board/uXjVOAch4J8=/" TargetMode="External"/><Relationship Id="rId18" Type="http://schemas.openxmlformats.org/officeDocument/2006/relationships/hyperlink" Target="https://medium.com/tag/data-contract/recommended" TargetMode="External"/><Relationship Id="rId7" Type="http://schemas.openxmlformats.org/officeDocument/2006/relationships/hyperlink" Target="https://www.youtube.com/watch?v=vWXBpLrYhgg" TargetMode="External"/><Relationship Id="rId8" Type="http://schemas.openxmlformats.org/officeDocument/2006/relationships/hyperlink" Target="https://www.youtube.com/watch?v=3djle1B49To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ata-nature.com" TargetMode="External"/><Relationship Id="rId2" Type="http://schemas.openxmlformats.org/officeDocument/2006/relationships/hyperlink" Target="https://t.me/alexbarakov" TargetMode="External"/><Relationship Id="rId3" Type="http://schemas.openxmlformats.org/officeDocument/2006/relationships/hyperlink" Target="https://www.linkedin.com/in/alexanderbarakov/" TargetMode="External"/><Relationship Id="rId4" Type="http://schemas.openxmlformats.org/officeDocument/2006/relationships/hyperlink" Target="https://data-nature.com/bi-strategy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3.88"/>
    <col customWidth="1" min="2" max="2" width="36.63"/>
    <col customWidth="1" min="3" max="3" width="14.63"/>
    <col customWidth="1" min="4" max="4" width="17.5"/>
    <col customWidth="1" min="5" max="5" width="2.63"/>
    <col customWidth="1" min="6" max="6" width="54.75"/>
    <col customWidth="1" min="7" max="7" width="16.88"/>
    <col customWidth="1" min="8" max="8" width="36.25"/>
    <col customWidth="1" min="9" max="9" width="1.13"/>
    <col customWidth="1" min="10" max="10" width="6.0"/>
    <col customWidth="1" min="11" max="11" width="1.63"/>
    <col customWidth="1" min="12" max="15" width="5.13"/>
    <col customWidth="1" min="16" max="16" width="1.38"/>
    <col customWidth="1" min="17" max="17" width="8.0"/>
    <col customWidth="1" min="18" max="18" width="6.5"/>
    <col customWidth="1" min="19" max="19" width="9.13"/>
    <col customWidth="1" min="20" max="20" width="2.88"/>
    <col customWidth="1" min="21" max="21" width="10.25"/>
    <col customWidth="1" min="22" max="23" width="9.13"/>
    <col customWidth="1" min="24" max="24" width="10.0"/>
    <col customWidth="1" min="25" max="25" width="9.25"/>
    <col customWidth="1" min="26" max="26" width="10.0"/>
    <col customWidth="1" min="27" max="28" width="11.0"/>
    <col customWidth="1" min="29" max="29" width="17.0"/>
    <col customWidth="1" min="30" max="43" width="11.0"/>
  </cols>
  <sheetData>
    <row r="1" ht="14.25" customHeight="1">
      <c r="A1" s="38"/>
      <c r="B1" s="39"/>
      <c r="C1" s="39"/>
      <c r="D1" s="39"/>
      <c r="E1" s="39"/>
      <c r="F1" s="39"/>
      <c r="G1" s="39"/>
      <c r="H1" s="40"/>
      <c r="I1" s="41"/>
      <c r="J1" s="42"/>
      <c r="K1" s="42"/>
      <c r="L1" s="43"/>
      <c r="M1" s="44"/>
      <c r="N1" s="44"/>
      <c r="O1" s="45"/>
      <c r="P1" s="39"/>
      <c r="Q1" s="39"/>
      <c r="R1" s="39"/>
      <c r="S1" s="39"/>
      <c r="T1" s="46"/>
      <c r="U1" s="47"/>
      <c r="V1" s="47"/>
      <c r="W1" s="47"/>
      <c r="X1" s="47"/>
      <c r="Y1" s="48"/>
      <c r="Z1" s="49"/>
      <c r="AA1" s="50"/>
      <c r="AB1" s="50"/>
      <c r="AC1" s="50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</row>
    <row r="2" ht="27.0" customHeight="1">
      <c r="A2" s="52"/>
      <c r="B2" s="53" t="s">
        <v>34</v>
      </c>
      <c r="C2" s="54" t="s">
        <v>35</v>
      </c>
      <c r="D2" s="53"/>
      <c r="E2" s="53"/>
      <c r="F2" s="55"/>
      <c r="G2" s="56"/>
      <c r="H2" s="57"/>
      <c r="I2" s="58"/>
      <c r="J2" s="52"/>
      <c r="K2" s="52" t="s">
        <v>36</v>
      </c>
      <c r="L2" s="59"/>
      <c r="M2" s="60"/>
      <c r="N2" s="60"/>
      <c r="O2" s="60"/>
      <c r="P2" s="61"/>
      <c r="Q2" s="61"/>
      <c r="R2" s="61"/>
      <c r="S2" s="61"/>
      <c r="T2" s="62"/>
      <c r="U2" s="62"/>
      <c r="V2" s="62"/>
      <c r="W2" s="62"/>
      <c r="X2" s="62"/>
      <c r="Y2" s="52"/>
      <c r="Z2" s="62"/>
      <c r="AA2" s="52"/>
      <c r="AB2" s="63"/>
      <c r="AC2" s="63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</row>
    <row r="3" ht="27.0" customHeight="1">
      <c r="A3" s="65"/>
      <c r="B3" s="66" t="s">
        <v>37</v>
      </c>
      <c r="C3" s="67"/>
      <c r="D3" s="68"/>
      <c r="E3" s="69"/>
      <c r="F3" s="69"/>
      <c r="G3" s="65"/>
      <c r="H3" s="70"/>
      <c r="I3" s="70"/>
      <c r="J3" s="70"/>
      <c r="K3" s="70"/>
      <c r="L3" s="70"/>
      <c r="M3" s="71"/>
      <c r="N3" s="71"/>
      <c r="O3" s="71"/>
      <c r="P3" s="72"/>
      <c r="Q3" s="72"/>
      <c r="R3" s="72"/>
      <c r="S3" s="72"/>
      <c r="T3" s="65"/>
      <c r="U3" s="73"/>
      <c r="V3" s="73"/>
      <c r="W3" s="73"/>
      <c r="X3" s="73"/>
      <c r="Y3" s="74"/>
      <c r="Z3" s="75"/>
      <c r="AA3" s="76"/>
      <c r="AB3" s="76"/>
      <c r="AC3" s="76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</row>
    <row r="4" ht="6.75" customHeight="1">
      <c r="A4" s="78"/>
      <c r="B4" s="79"/>
      <c r="C4" s="79"/>
      <c r="D4" s="79"/>
      <c r="E4" s="80"/>
      <c r="F4" s="80"/>
      <c r="G4" s="78"/>
      <c r="H4" s="81"/>
      <c r="I4" s="81"/>
      <c r="J4" s="81"/>
      <c r="K4" s="81"/>
      <c r="L4" s="81"/>
      <c r="M4" s="82"/>
      <c r="N4" s="82"/>
      <c r="O4" s="82"/>
      <c r="P4" s="39"/>
      <c r="Q4" s="39"/>
      <c r="R4" s="39"/>
      <c r="S4" s="39"/>
      <c r="T4" s="83"/>
      <c r="U4" s="78"/>
      <c r="V4" s="78"/>
      <c r="W4" s="78"/>
      <c r="X4" s="78"/>
      <c r="Y4" s="84"/>
      <c r="Z4" s="78"/>
      <c r="AA4" s="85"/>
      <c r="AB4" s="85"/>
      <c r="AC4" s="85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</row>
    <row r="5" ht="62.25" customHeight="1">
      <c r="A5" s="78"/>
      <c r="B5" s="87"/>
      <c r="C5" s="88"/>
      <c r="D5" s="88"/>
      <c r="E5" s="88"/>
      <c r="F5" s="89"/>
      <c r="G5" s="90"/>
      <c r="H5" s="81"/>
      <c r="I5" s="81"/>
      <c r="J5" s="81"/>
      <c r="K5" s="81"/>
      <c r="L5" s="81"/>
      <c r="M5" s="84"/>
      <c r="N5" s="84"/>
      <c r="O5" s="84"/>
      <c r="P5" s="84"/>
      <c r="Q5" s="84"/>
      <c r="R5" s="84"/>
      <c r="S5" s="84"/>
      <c r="T5" s="84"/>
      <c r="U5" s="91"/>
      <c r="V5" s="88"/>
      <c r="W5" s="88"/>
      <c r="X5" s="88"/>
      <c r="Y5" s="88"/>
      <c r="Z5" s="89"/>
      <c r="AA5" s="85"/>
      <c r="AB5" s="85"/>
      <c r="AC5" s="85"/>
      <c r="AD5" s="92"/>
      <c r="AE5" s="88"/>
      <c r="AF5" s="88"/>
      <c r="AG5" s="85"/>
      <c r="AH5" s="85"/>
      <c r="AI5" s="85"/>
      <c r="AJ5" s="85"/>
      <c r="AK5" s="85"/>
      <c r="AL5" s="86"/>
      <c r="AM5" s="86"/>
      <c r="AN5" s="86"/>
      <c r="AO5" s="86"/>
      <c r="AP5" s="86"/>
      <c r="AQ5" s="86"/>
    </row>
    <row r="6" ht="60.75" customHeight="1">
      <c r="A6" s="78"/>
      <c r="B6" s="93"/>
      <c r="C6" s="93"/>
      <c r="D6" s="93"/>
      <c r="E6" s="94"/>
      <c r="F6" s="94"/>
      <c r="G6" s="94"/>
      <c r="H6" s="95"/>
      <c r="I6" s="96"/>
      <c r="J6" s="97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98"/>
      <c r="Z6" s="78"/>
      <c r="AA6" s="85"/>
      <c r="AB6" s="85"/>
      <c r="AC6" s="85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  <c r="AQ6" s="86"/>
    </row>
    <row r="7" ht="60.75" customHeight="1">
      <c r="A7" s="78"/>
      <c r="B7" s="93"/>
      <c r="C7" s="93"/>
      <c r="D7" s="93"/>
      <c r="E7" s="94"/>
      <c r="F7" s="94"/>
      <c r="G7" s="94"/>
      <c r="H7" s="95"/>
      <c r="I7" s="96"/>
      <c r="J7" s="97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99"/>
      <c r="Z7" s="78"/>
      <c r="AA7" s="100"/>
      <c r="AB7" s="100"/>
      <c r="AC7" s="100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</row>
    <row r="8" ht="71.25" customHeight="1">
      <c r="A8" s="78"/>
      <c r="B8" s="93"/>
      <c r="C8" s="93"/>
      <c r="D8" s="93"/>
      <c r="E8" s="94"/>
      <c r="F8" s="94"/>
      <c r="G8" s="94"/>
      <c r="H8" s="95"/>
      <c r="I8" s="96"/>
      <c r="J8" s="97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99"/>
      <c r="Z8" s="78"/>
      <c r="AA8" s="100"/>
      <c r="AB8" s="100"/>
      <c r="AC8" s="100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</row>
    <row r="9" ht="9.0" customHeight="1">
      <c r="A9" s="46"/>
      <c r="B9" s="102"/>
      <c r="C9" s="102"/>
      <c r="D9" s="102"/>
      <c r="E9" s="102"/>
      <c r="F9" s="102"/>
      <c r="G9" s="102"/>
      <c r="H9" s="40"/>
      <c r="I9" s="103"/>
      <c r="J9" s="104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6"/>
      <c r="Z9" s="46"/>
      <c r="AA9" s="50"/>
      <c r="AB9" s="50"/>
      <c r="AC9" s="50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</row>
    <row r="10" ht="30.0" customHeight="1">
      <c r="A10" s="107"/>
      <c r="B10" s="108" t="s">
        <v>38</v>
      </c>
      <c r="C10" s="109"/>
      <c r="D10" s="109"/>
      <c r="E10" s="109"/>
      <c r="F10" s="110"/>
      <c r="G10" s="111"/>
      <c r="H10" s="112" t="s">
        <v>39</v>
      </c>
      <c r="I10" s="111"/>
      <c r="J10" s="113"/>
      <c r="K10" s="113"/>
      <c r="L10" s="114" t="s">
        <v>40</v>
      </c>
      <c r="M10" s="109"/>
      <c r="N10" s="109"/>
      <c r="O10" s="109"/>
      <c r="P10" s="109"/>
      <c r="Q10" s="115"/>
      <c r="R10" s="61"/>
      <c r="S10" s="61"/>
      <c r="T10" s="52"/>
      <c r="U10" s="116"/>
      <c r="V10" s="117"/>
      <c r="W10" s="117"/>
      <c r="X10" s="118"/>
      <c r="Y10" s="119"/>
      <c r="Z10" s="52"/>
      <c r="AA10" s="63"/>
      <c r="AB10" s="63"/>
      <c r="AC10" s="63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</row>
    <row r="11" ht="15.75" customHeight="1">
      <c r="A11" s="120"/>
      <c r="B11" s="121"/>
      <c r="C11" s="122"/>
      <c r="D11" s="122"/>
      <c r="E11" s="122"/>
      <c r="F11" s="123"/>
      <c r="G11" s="124"/>
      <c r="H11" s="125"/>
      <c r="I11" s="126"/>
      <c r="J11" s="127"/>
      <c r="K11" s="127"/>
      <c r="L11" s="128"/>
      <c r="M11" s="129"/>
      <c r="N11" s="129"/>
      <c r="O11" s="129"/>
      <c r="P11" s="129"/>
      <c r="Q11" s="130"/>
      <c r="R11" s="131"/>
      <c r="S11" s="131"/>
      <c r="T11" s="65"/>
      <c r="U11" s="132"/>
      <c r="V11" s="132"/>
      <c r="W11" s="132"/>
      <c r="X11" s="132"/>
      <c r="Y11" s="133"/>
      <c r="Z11" s="65"/>
      <c r="AA11" s="126"/>
      <c r="AB11" s="126"/>
      <c r="AC11" s="126"/>
      <c r="AD11" s="134"/>
      <c r="AE11" s="134"/>
      <c r="AF11" s="134"/>
      <c r="AG11" s="134"/>
      <c r="AH11" s="134"/>
      <c r="AI11" s="134"/>
      <c r="AJ11" s="134"/>
      <c r="AK11" s="134"/>
      <c r="AL11" s="134"/>
      <c r="AM11" s="134"/>
      <c r="AN11" s="134"/>
      <c r="AO11" s="134"/>
      <c r="AP11" s="134"/>
      <c r="AQ11" s="134"/>
    </row>
    <row r="12" hidden="1">
      <c r="A12" s="135"/>
      <c r="B12" s="136"/>
      <c r="C12" s="136"/>
      <c r="D12" s="136"/>
      <c r="E12" s="136"/>
      <c r="F12" s="137"/>
      <c r="G12" s="138"/>
      <c r="H12" s="139"/>
      <c r="I12" s="140"/>
      <c r="J12" s="141"/>
      <c r="K12" s="141"/>
      <c r="L12" s="142"/>
      <c r="M12" s="142"/>
      <c r="N12" s="142"/>
      <c r="O12" s="142"/>
      <c r="P12" s="143"/>
      <c r="Q12" s="143"/>
      <c r="R12" s="143"/>
      <c r="S12" s="143"/>
      <c r="T12" s="144"/>
      <c r="U12" s="145"/>
      <c r="V12" s="145"/>
      <c r="W12" s="145"/>
      <c r="X12" s="145"/>
      <c r="Y12" s="146"/>
      <c r="Z12" s="147"/>
      <c r="AA12" s="148"/>
      <c r="AB12" s="148"/>
      <c r="AC12" s="148"/>
      <c r="AD12" s="149"/>
      <c r="AE12" s="149"/>
      <c r="AF12" s="149"/>
      <c r="AG12" s="149"/>
      <c r="AH12" s="149"/>
      <c r="AI12" s="149"/>
      <c r="AJ12" s="149"/>
      <c r="AK12" s="149"/>
      <c r="AL12" s="149"/>
      <c r="AM12" s="149"/>
      <c r="AN12" s="149"/>
      <c r="AO12" s="149"/>
      <c r="AP12" s="149"/>
      <c r="AQ12" s="149"/>
    </row>
    <row r="13" hidden="1">
      <c r="A13" s="150"/>
      <c r="B13" s="151"/>
      <c r="C13" s="151"/>
      <c r="D13" s="151"/>
      <c r="E13" s="151"/>
      <c r="F13" s="152"/>
      <c r="G13" s="153"/>
      <c r="H13" s="154"/>
      <c r="I13" s="155"/>
      <c r="J13" s="156" t="s">
        <v>41</v>
      </c>
      <c r="L13" s="157" t="str">
        <f t="shared" ref="L13:O13" si="1">L33</f>
        <v>Level 1</v>
      </c>
      <c r="M13" s="157" t="str">
        <f t="shared" si="1"/>
        <v>Level 2</v>
      </c>
      <c r="N13" s="157" t="str">
        <f t="shared" si="1"/>
        <v>Level  3</v>
      </c>
      <c r="O13" s="157" t="str">
        <f t="shared" si="1"/>
        <v>Level 4</v>
      </c>
      <c r="P13" s="157"/>
      <c r="Q13" s="157" t="s">
        <v>42</v>
      </c>
      <c r="R13" s="158"/>
      <c r="S13" s="159"/>
      <c r="T13" s="160"/>
      <c r="U13" s="161"/>
      <c r="V13" s="162"/>
      <c r="W13" s="162"/>
      <c r="X13" s="162"/>
      <c r="Y13" s="162" t="s">
        <v>43</v>
      </c>
      <c r="Z13" s="163"/>
      <c r="AA13" s="164"/>
      <c r="AB13" s="164"/>
      <c r="AC13" s="164"/>
      <c r="AD13" s="165"/>
      <c r="AE13" s="165"/>
      <c r="AF13" s="165"/>
      <c r="AG13" s="165"/>
      <c r="AH13" s="165"/>
      <c r="AI13" s="165"/>
      <c r="AJ13" s="165"/>
      <c r="AK13" s="165"/>
      <c r="AL13" s="165"/>
      <c r="AM13" s="165"/>
      <c r="AN13" s="165"/>
      <c r="AO13" s="165"/>
      <c r="AP13" s="165"/>
      <c r="AQ13" s="165"/>
    </row>
    <row r="14" ht="15.0" hidden="1" customHeight="1">
      <c r="A14" s="150"/>
      <c r="B14" s="166" t="s">
        <v>44</v>
      </c>
      <c r="C14" s="151"/>
      <c r="D14" s="151"/>
      <c r="E14" s="151"/>
      <c r="F14" s="151"/>
      <c r="G14" s="167"/>
      <c r="H14" s="154"/>
      <c r="I14" s="155"/>
      <c r="J14" s="168">
        <f>J36</f>
        <v>1.833333333</v>
      </c>
      <c r="L14" s="169">
        <f t="shared" ref="L14:O14" si="2">L36</f>
        <v>1.166666667</v>
      </c>
      <c r="M14" s="169">
        <f t="shared" si="2"/>
        <v>2</v>
      </c>
      <c r="N14" s="169">
        <f t="shared" si="2"/>
        <v>2.833333333</v>
      </c>
      <c r="O14" s="169">
        <f t="shared" si="2"/>
        <v>4</v>
      </c>
      <c r="P14" s="169"/>
      <c r="Q14" s="169">
        <f>Q36</f>
        <v>2.666666667</v>
      </c>
      <c r="R14" s="169"/>
      <c r="S14" s="159"/>
      <c r="T14" s="160"/>
      <c r="U14" s="170"/>
      <c r="V14" s="170"/>
      <c r="W14" s="170"/>
      <c r="X14" s="170"/>
      <c r="Y14" s="171">
        <v>1.0</v>
      </c>
      <c r="Z14" s="163"/>
      <c r="AA14" s="164"/>
      <c r="AB14" s="164"/>
      <c r="AC14" s="164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5"/>
      <c r="AO14" s="165"/>
      <c r="AP14" s="165"/>
      <c r="AQ14" s="165"/>
    </row>
    <row r="15" ht="15.0" hidden="1" customHeight="1">
      <c r="A15" s="150"/>
      <c r="B15" s="166" t="s">
        <v>45</v>
      </c>
      <c r="C15" s="151"/>
      <c r="D15" s="151"/>
      <c r="E15" s="151"/>
      <c r="F15" s="151"/>
      <c r="G15" s="167"/>
      <c r="H15" s="154"/>
      <c r="I15" s="155"/>
      <c r="J15" s="168">
        <f>J45</f>
        <v>1.428571429</v>
      </c>
      <c r="L15" s="169">
        <f t="shared" ref="L15:O15" si="3">L45</f>
        <v>0.2857142857</v>
      </c>
      <c r="M15" s="169">
        <f t="shared" si="3"/>
        <v>1.285714286</v>
      </c>
      <c r="N15" s="169">
        <f t="shared" si="3"/>
        <v>2.285714286</v>
      </c>
      <c r="O15" s="169">
        <f t="shared" si="3"/>
        <v>3.857142857</v>
      </c>
      <c r="P15" s="169"/>
      <c r="Q15" s="169">
        <f>Q45</f>
        <v>2.142857143</v>
      </c>
      <c r="R15" s="169"/>
      <c r="S15" s="159"/>
      <c r="T15" s="160"/>
      <c r="U15" s="170"/>
      <c r="V15" s="170"/>
      <c r="W15" s="170"/>
      <c r="X15" s="170"/>
      <c r="Y15" s="171">
        <v>1.0</v>
      </c>
      <c r="Z15" s="163"/>
      <c r="AA15" s="164"/>
      <c r="AB15" s="164"/>
      <c r="AC15" s="164"/>
      <c r="AD15" s="165"/>
      <c r="AE15" s="165"/>
      <c r="AF15" s="165"/>
      <c r="AG15" s="165"/>
      <c r="AH15" s="165"/>
      <c r="AI15" s="165"/>
      <c r="AJ15" s="165"/>
      <c r="AK15" s="165"/>
      <c r="AL15" s="165"/>
      <c r="AM15" s="165"/>
      <c r="AN15" s="165"/>
      <c r="AO15" s="165"/>
      <c r="AP15" s="165"/>
      <c r="AQ15" s="165"/>
    </row>
    <row r="16" ht="15.0" hidden="1" customHeight="1">
      <c r="A16" s="150"/>
      <c r="B16" s="166" t="s">
        <v>46</v>
      </c>
      <c r="C16" s="151"/>
      <c r="D16" s="151"/>
      <c r="E16" s="151"/>
      <c r="F16" s="151"/>
      <c r="G16" s="167"/>
      <c r="H16" s="154"/>
      <c r="I16" s="155"/>
      <c r="J16" s="168">
        <f>J55</f>
        <v>1.333333333</v>
      </c>
      <c r="L16" s="169">
        <f t="shared" ref="L16:O16" si="4">L55</f>
        <v>0.4166666667</v>
      </c>
      <c r="M16" s="169">
        <f t="shared" si="4"/>
        <v>1.583333333</v>
      </c>
      <c r="N16" s="169">
        <f t="shared" si="4"/>
        <v>2.916666667</v>
      </c>
      <c r="O16" s="169">
        <f t="shared" si="4"/>
        <v>4</v>
      </c>
      <c r="P16" s="169"/>
      <c r="Q16" s="169">
        <f>Q55</f>
        <v>2.428571429</v>
      </c>
      <c r="R16" s="169"/>
      <c r="S16" s="159"/>
      <c r="T16" s="160"/>
      <c r="U16" s="170"/>
      <c r="V16" s="170"/>
      <c r="W16" s="170"/>
      <c r="X16" s="170"/>
      <c r="Y16" s="171">
        <v>1.0</v>
      </c>
      <c r="Z16" s="163"/>
      <c r="AA16" s="164"/>
      <c r="AB16" s="164"/>
      <c r="AC16" s="164"/>
      <c r="AD16" s="165"/>
      <c r="AE16" s="165"/>
      <c r="AF16" s="165"/>
      <c r="AG16" s="165"/>
      <c r="AH16" s="165"/>
      <c r="AI16" s="165"/>
      <c r="AJ16" s="165"/>
      <c r="AK16" s="165"/>
      <c r="AL16" s="165"/>
      <c r="AM16" s="165"/>
      <c r="AN16" s="165"/>
      <c r="AO16" s="165"/>
      <c r="AP16" s="165"/>
      <c r="AQ16" s="165"/>
    </row>
    <row r="17" ht="15.0" hidden="1" customHeight="1">
      <c r="A17" s="150"/>
      <c r="B17" s="166" t="s">
        <v>47</v>
      </c>
      <c r="C17" s="151"/>
      <c r="D17" s="151"/>
      <c r="E17" s="151"/>
      <c r="F17" s="151"/>
      <c r="G17" s="167"/>
      <c r="H17" s="154"/>
      <c r="I17" s="155"/>
      <c r="J17" s="168">
        <f>J70</f>
        <v>1.625</v>
      </c>
      <c r="L17" s="169">
        <f t="shared" ref="L17:O17" si="5">L70</f>
        <v>0.375</v>
      </c>
      <c r="M17" s="169">
        <f t="shared" si="5"/>
        <v>1.375</v>
      </c>
      <c r="N17" s="169">
        <f t="shared" si="5"/>
        <v>3</v>
      </c>
      <c r="O17" s="169">
        <f t="shared" si="5"/>
        <v>4</v>
      </c>
      <c r="P17" s="169"/>
      <c r="Q17" s="169">
        <f>Q70</f>
        <v>2.5</v>
      </c>
      <c r="R17" s="169"/>
      <c r="S17" s="159"/>
      <c r="T17" s="160"/>
      <c r="U17" s="170"/>
      <c r="V17" s="170"/>
      <c r="W17" s="170"/>
      <c r="X17" s="170"/>
      <c r="Y17" s="171">
        <v>1.0</v>
      </c>
      <c r="Z17" s="163"/>
      <c r="AA17" s="164"/>
      <c r="AB17" s="164"/>
      <c r="AC17" s="164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5"/>
      <c r="AO17" s="165"/>
      <c r="AP17" s="165"/>
      <c r="AQ17" s="165"/>
    </row>
    <row r="18" ht="15.0" hidden="1" customHeight="1">
      <c r="A18" s="150"/>
      <c r="B18" s="166" t="s">
        <v>48</v>
      </c>
      <c r="C18" s="151"/>
      <c r="D18" s="151"/>
      <c r="E18" s="151"/>
      <c r="F18" s="151"/>
      <c r="G18" s="172"/>
      <c r="H18" s="154"/>
      <c r="I18" s="155"/>
      <c r="J18" s="168">
        <f>J81</f>
        <v>1.375</v>
      </c>
      <c r="L18" s="169">
        <f t="shared" ref="L18:O18" si="6">L81</f>
        <v>0.5</v>
      </c>
      <c r="M18" s="169">
        <f t="shared" si="6"/>
        <v>1.5</v>
      </c>
      <c r="N18" s="169">
        <f t="shared" si="6"/>
        <v>3</v>
      </c>
      <c r="O18" s="169">
        <f t="shared" si="6"/>
        <v>4</v>
      </c>
      <c r="P18" s="169"/>
      <c r="Q18" s="169">
        <f>Q81</f>
        <v>2.5</v>
      </c>
      <c r="R18" s="169"/>
      <c r="S18" s="159"/>
      <c r="T18" s="160"/>
      <c r="U18" s="170"/>
      <c r="V18" s="170"/>
      <c r="W18" s="170"/>
      <c r="X18" s="170"/>
      <c r="Y18" s="171">
        <v>1.0</v>
      </c>
      <c r="Z18" s="163"/>
      <c r="AA18" s="164"/>
      <c r="AB18" s="164"/>
      <c r="AC18" s="164"/>
      <c r="AD18" s="165"/>
      <c r="AE18" s="165"/>
      <c r="AF18" s="165"/>
      <c r="AG18" s="165"/>
      <c r="AH18" s="165"/>
      <c r="AI18" s="165"/>
      <c r="AJ18" s="165"/>
      <c r="AK18" s="165"/>
      <c r="AL18" s="165"/>
      <c r="AM18" s="165"/>
      <c r="AN18" s="165"/>
      <c r="AO18" s="165"/>
      <c r="AP18" s="165"/>
      <c r="AQ18" s="165"/>
    </row>
    <row r="19" ht="15.0" hidden="1" customHeight="1">
      <c r="A19" s="173"/>
      <c r="B19" s="166" t="s">
        <v>49</v>
      </c>
      <c r="C19" s="151"/>
      <c r="D19" s="151"/>
      <c r="E19" s="151"/>
      <c r="F19" s="151"/>
      <c r="G19" s="167"/>
      <c r="H19" s="154"/>
      <c r="I19" s="174"/>
      <c r="J19" s="168">
        <f>J92</f>
        <v>1.2</v>
      </c>
      <c r="L19" s="169">
        <f t="shared" ref="L19:O19" si="7">L92</f>
        <v>0.5</v>
      </c>
      <c r="M19" s="169">
        <f t="shared" si="7"/>
        <v>1.5</v>
      </c>
      <c r="N19" s="169">
        <f t="shared" si="7"/>
        <v>2.8</v>
      </c>
      <c r="O19" s="169">
        <f t="shared" si="7"/>
        <v>3.8</v>
      </c>
      <c r="P19" s="169"/>
      <c r="Q19" s="169">
        <f>Q92</f>
        <v>1.75</v>
      </c>
      <c r="R19" s="169"/>
      <c r="S19" s="175"/>
      <c r="T19" s="160"/>
      <c r="U19" s="170"/>
      <c r="V19" s="170"/>
      <c r="W19" s="170"/>
      <c r="X19" s="170"/>
      <c r="Y19" s="171">
        <v>1.0</v>
      </c>
      <c r="Z19" s="163"/>
      <c r="AA19" s="165"/>
      <c r="AB19" s="165"/>
      <c r="AC19" s="165"/>
      <c r="AD19" s="165"/>
      <c r="AE19" s="165"/>
      <c r="AF19" s="165"/>
      <c r="AG19" s="165"/>
      <c r="AH19" s="165"/>
      <c r="AI19" s="165"/>
      <c r="AJ19" s="165"/>
      <c r="AK19" s="165"/>
      <c r="AL19" s="165"/>
      <c r="AM19" s="165"/>
      <c r="AN19" s="165"/>
      <c r="AO19" s="165"/>
      <c r="AP19" s="165"/>
      <c r="AQ19" s="165"/>
    </row>
    <row r="20" ht="15.0" hidden="1" customHeight="1">
      <c r="A20" s="173"/>
      <c r="B20" s="166" t="s">
        <v>50</v>
      </c>
      <c r="C20" s="151"/>
      <c r="D20" s="151"/>
      <c r="E20" s="151"/>
      <c r="F20" s="151"/>
      <c r="G20" s="166"/>
      <c r="H20" s="166"/>
      <c r="I20" s="166"/>
      <c r="J20" s="168">
        <f>J105</f>
        <v>1</v>
      </c>
      <c r="L20" s="169">
        <f t="shared" ref="L20:O20" si="8">L105</f>
        <v>1.166666667</v>
      </c>
      <c r="M20" s="169">
        <f t="shared" si="8"/>
        <v>2</v>
      </c>
      <c r="N20" s="169">
        <f t="shared" si="8"/>
        <v>3</v>
      </c>
      <c r="O20" s="169">
        <f t="shared" si="8"/>
        <v>4</v>
      </c>
      <c r="P20" s="169"/>
      <c r="Q20" s="169">
        <f>Q105</f>
        <v>2.303571429</v>
      </c>
      <c r="R20" s="169"/>
      <c r="S20" s="175"/>
      <c r="T20" s="160"/>
      <c r="U20" s="170"/>
      <c r="V20" s="170"/>
      <c r="W20" s="170"/>
      <c r="X20" s="170"/>
      <c r="Y20" s="171">
        <v>1.0</v>
      </c>
      <c r="Z20" s="163"/>
      <c r="AA20" s="165"/>
      <c r="AB20" s="165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5"/>
      <c r="AO20" s="165"/>
      <c r="AP20" s="165"/>
      <c r="AQ20" s="165"/>
    </row>
    <row r="21" ht="15.0" hidden="1" customHeight="1">
      <c r="A21" s="173"/>
      <c r="B21" s="166" t="s">
        <v>51</v>
      </c>
      <c r="C21" s="151"/>
      <c r="D21" s="151"/>
      <c r="E21" s="151"/>
      <c r="F21" s="151"/>
      <c r="G21" s="166"/>
      <c r="H21" s="166"/>
      <c r="I21" s="166"/>
      <c r="J21" s="168">
        <f>J114</f>
        <v>1.5</v>
      </c>
      <c r="L21" s="169">
        <f t="shared" ref="L21:O21" si="9">L114</f>
        <v>0.75</v>
      </c>
      <c r="M21" s="169">
        <f t="shared" si="9"/>
        <v>1.75</v>
      </c>
      <c r="N21" s="169">
        <f t="shared" si="9"/>
        <v>3</v>
      </c>
      <c r="O21" s="169">
        <f t="shared" si="9"/>
        <v>4</v>
      </c>
      <c r="P21" s="169"/>
      <c r="Q21" s="169">
        <f>Q114</f>
        <v>2.125</v>
      </c>
      <c r="R21" s="169"/>
      <c r="S21" s="175"/>
      <c r="T21" s="160"/>
      <c r="U21" s="170"/>
      <c r="V21" s="170"/>
      <c r="W21" s="170"/>
      <c r="X21" s="170"/>
      <c r="Y21" s="171">
        <v>1.0</v>
      </c>
      <c r="Z21" s="163"/>
      <c r="AA21" s="165"/>
      <c r="AB21" s="165"/>
      <c r="AC21" s="165"/>
      <c r="AD21" s="165"/>
      <c r="AE21" s="165"/>
      <c r="AF21" s="165"/>
      <c r="AG21" s="165"/>
      <c r="AH21" s="165"/>
      <c r="AI21" s="165"/>
      <c r="AJ21" s="165"/>
      <c r="AK21" s="165"/>
      <c r="AL21" s="165"/>
      <c r="AM21" s="165"/>
      <c r="AN21" s="165"/>
      <c r="AO21" s="165"/>
      <c r="AP21" s="165"/>
      <c r="AQ21" s="165"/>
    </row>
    <row r="22" ht="15.0" hidden="1" customHeight="1">
      <c r="A22" s="173"/>
      <c r="B22" s="166" t="s">
        <v>52</v>
      </c>
      <c r="C22" s="151"/>
      <c r="D22" s="151"/>
      <c r="E22" s="151"/>
      <c r="F22" s="151"/>
      <c r="G22" s="166"/>
      <c r="H22" s="166"/>
      <c r="I22" s="166"/>
      <c r="J22" s="168">
        <f>J125</f>
        <v>1</v>
      </c>
      <c r="L22" s="169">
        <f t="shared" ref="L22:O22" si="10">L125</f>
        <v>0.75</v>
      </c>
      <c r="M22" s="169">
        <f t="shared" si="10"/>
        <v>1.75</v>
      </c>
      <c r="N22" s="169">
        <f t="shared" si="10"/>
        <v>2.875</v>
      </c>
      <c r="O22" s="169">
        <f t="shared" si="10"/>
        <v>3.875</v>
      </c>
      <c r="P22" s="169"/>
      <c r="Q22" s="169">
        <f>Q125</f>
        <v>1.75</v>
      </c>
      <c r="R22" s="169"/>
      <c r="S22" s="175"/>
      <c r="T22" s="160"/>
      <c r="U22" s="170"/>
      <c r="V22" s="170"/>
      <c r="W22" s="170"/>
      <c r="X22" s="170"/>
      <c r="Y22" s="171">
        <v>1.0</v>
      </c>
      <c r="Z22" s="163"/>
      <c r="AA22" s="165"/>
      <c r="AB22" s="165"/>
      <c r="AC22" s="165"/>
      <c r="AD22" s="165"/>
      <c r="AE22" s="165"/>
      <c r="AF22" s="165"/>
      <c r="AG22" s="165"/>
      <c r="AH22" s="165"/>
      <c r="AI22" s="165"/>
      <c r="AJ22" s="165"/>
      <c r="AK22" s="165"/>
      <c r="AL22" s="165"/>
      <c r="AM22" s="165"/>
      <c r="AN22" s="165"/>
      <c r="AO22" s="165"/>
      <c r="AP22" s="165"/>
      <c r="AQ22" s="165"/>
    </row>
    <row r="23" ht="12.75" hidden="1" customHeight="1">
      <c r="A23" s="173"/>
      <c r="B23" s="176"/>
      <c r="C23" s="177"/>
      <c r="D23" s="177"/>
      <c r="E23" s="177"/>
      <c r="F23" s="151"/>
      <c r="G23" s="178"/>
      <c r="H23" s="179"/>
      <c r="I23" s="180"/>
      <c r="J23" s="180"/>
      <c r="L23" s="180"/>
      <c r="M23" s="180"/>
      <c r="N23" s="180"/>
      <c r="O23" s="180"/>
      <c r="P23" s="175"/>
      <c r="Q23" s="175"/>
      <c r="R23" s="175"/>
      <c r="S23" s="175"/>
      <c r="T23" s="160"/>
      <c r="U23" s="181"/>
      <c r="V23" s="181"/>
      <c r="W23" s="181"/>
      <c r="X23" s="181"/>
      <c r="Y23" s="181"/>
      <c r="Z23" s="182"/>
      <c r="AA23" s="182"/>
      <c r="AB23" s="165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5"/>
      <c r="AO23" s="165"/>
      <c r="AP23" s="165"/>
      <c r="AQ23" s="165"/>
    </row>
    <row r="24" ht="12.75" hidden="1" customHeight="1">
      <c r="A24" s="173"/>
      <c r="B24" s="183"/>
      <c r="C24" s="177"/>
      <c r="D24" s="177"/>
      <c r="E24" s="184"/>
      <c r="F24" s="151"/>
      <c r="G24" s="185"/>
      <c r="H24" s="186"/>
      <c r="I24" s="187"/>
      <c r="J24" s="188" t="s">
        <v>41</v>
      </c>
      <c r="L24" s="189" t="s">
        <v>53</v>
      </c>
      <c r="M24" s="189" t="s">
        <v>54</v>
      </c>
      <c r="N24" s="189" t="s">
        <v>55</v>
      </c>
      <c r="O24" s="189" t="s">
        <v>43</v>
      </c>
      <c r="P24" s="157"/>
      <c r="Q24" s="157" t="s">
        <v>42</v>
      </c>
      <c r="R24" s="175"/>
      <c r="S24" s="175"/>
      <c r="T24" s="160"/>
      <c r="U24" s="181"/>
      <c r="V24" s="181"/>
      <c r="W24" s="181"/>
      <c r="X24" s="181"/>
      <c r="Y24" s="181"/>
      <c r="Z24" s="190"/>
      <c r="AA24" s="182"/>
      <c r="AB24" s="165"/>
      <c r="AC24" s="165"/>
      <c r="AD24" s="165"/>
      <c r="AE24" s="165"/>
      <c r="AF24" s="165"/>
      <c r="AG24" s="165"/>
      <c r="AH24" s="165"/>
      <c r="AI24" s="165"/>
      <c r="AJ24" s="165"/>
      <c r="AK24" s="165"/>
      <c r="AL24" s="165"/>
      <c r="AM24" s="165"/>
      <c r="AN24" s="165"/>
      <c r="AO24" s="165"/>
      <c r="AP24" s="165"/>
      <c r="AQ24" s="165"/>
    </row>
    <row r="25" ht="12.75" hidden="1" customHeight="1">
      <c r="A25" s="173"/>
      <c r="B25" s="183" t="s">
        <v>56</v>
      </c>
      <c r="C25" s="177"/>
      <c r="D25" s="177"/>
      <c r="E25" s="184"/>
      <c r="F25" s="151"/>
      <c r="G25" s="185"/>
      <c r="H25" s="186"/>
      <c r="I25" s="187"/>
      <c r="J25" s="191">
        <f t="shared" ref="J25:J31" si="11">AVERAGEIF($G$38:$G$262,B25,$J$38:$J$262)</f>
        <v>2</v>
      </c>
      <c r="L25" s="192">
        <f t="shared" ref="L25:L31" si="12">AVERAGEIF($G$38:$G$262,B25,$L$38:$L$262)</f>
        <v>0.7777777778</v>
      </c>
      <c r="M25" s="192">
        <f t="shared" ref="M25:M31" si="13">AVERAGEIF($G$38:$G$262,B25,$M$38:$M$262)</f>
        <v>1.666666667</v>
      </c>
      <c r="N25" s="192">
        <f t="shared" ref="N25:N31" si="14">AVERAGEIF($G$38:$G$262,B25,$N$38:$N$262)</f>
        <v>2.777777778</v>
      </c>
      <c r="O25" s="192">
        <f t="shared" ref="O25:O31" si="15">AVERAGEIF($G$38:$G$262,B25,$O$38:$O$262)</f>
        <v>3.888888889</v>
      </c>
      <c r="P25" s="192"/>
      <c r="Q25" s="192">
        <f t="shared" ref="Q25:Q31" si="16">AVERAGEIF($G$38:$G$262,B25,$Q$38:$Q$262)</f>
        <v>2.571428571</v>
      </c>
      <c r="R25" s="175"/>
      <c r="S25" s="175"/>
      <c r="T25" s="160"/>
      <c r="U25" s="181"/>
      <c r="V25" s="181"/>
      <c r="W25" s="181"/>
      <c r="X25" s="181"/>
      <c r="Y25" s="181"/>
      <c r="Z25" s="190"/>
      <c r="AA25" s="182"/>
      <c r="AB25" s="165"/>
      <c r="AC25" s="165"/>
      <c r="AD25" s="165"/>
      <c r="AE25" s="165"/>
      <c r="AF25" s="165"/>
      <c r="AG25" s="165"/>
      <c r="AH25" s="165"/>
      <c r="AI25" s="165"/>
      <c r="AJ25" s="165"/>
      <c r="AK25" s="165"/>
      <c r="AL25" s="165"/>
      <c r="AM25" s="165"/>
      <c r="AN25" s="165"/>
      <c r="AO25" s="165"/>
      <c r="AP25" s="165"/>
      <c r="AQ25" s="165"/>
    </row>
    <row r="26" ht="12.75" hidden="1" customHeight="1">
      <c r="A26" s="173"/>
      <c r="B26" s="193" t="s">
        <v>57</v>
      </c>
      <c r="C26" s="177"/>
      <c r="D26" s="177"/>
      <c r="E26" s="184"/>
      <c r="F26" s="151"/>
      <c r="G26" s="185"/>
      <c r="H26" s="186"/>
      <c r="I26" s="187"/>
      <c r="J26" s="191">
        <f t="shared" si="11"/>
        <v>0.6666666667</v>
      </c>
      <c r="L26" s="192">
        <f t="shared" si="12"/>
        <v>0.625</v>
      </c>
      <c r="M26" s="192">
        <f t="shared" si="13"/>
        <v>1.75</v>
      </c>
      <c r="N26" s="192">
        <f t="shared" si="14"/>
        <v>2.875</v>
      </c>
      <c r="O26" s="192">
        <f t="shared" si="15"/>
        <v>4</v>
      </c>
      <c r="P26" s="192"/>
      <c r="Q26" s="192">
        <f t="shared" si="16"/>
        <v>2.333333333</v>
      </c>
      <c r="R26" s="175"/>
      <c r="S26" s="175"/>
      <c r="T26" s="160"/>
      <c r="U26" s="181"/>
      <c r="V26" s="181"/>
      <c r="W26" s="181"/>
      <c r="X26" s="181"/>
      <c r="Y26" s="181"/>
      <c r="Z26" s="190"/>
      <c r="AA26" s="182"/>
      <c r="AB26" s="165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5"/>
      <c r="AO26" s="165"/>
      <c r="AP26" s="165"/>
      <c r="AQ26" s="165"/>
    </row>
    <row r="27" ht="12.75" hidden="1" customHeight="1">
      <c r="A27" s="173"/>
      <c r="B27" s="193" t="s">
        <v>58</v>
      </c>
      <c r="C27" s="177"/>
      <c r="D27" s="177"/>
      <c r="E27" s="184"/>
      <c r="F27" s="151"/>
      <c r="G27" s="185"/>
      <c r="H27" s="186"/>
      <c r="I27" s="187"/>
      <c r="J27" s="191">
        <f t="shared" si="11"/>
        <v>1.090909091</v>
      </c>
      <c r="L27" s="192">
        <f t="shared" si="12"/>
        <v>0.8536585366</v>
      </c>
      <c r="M27" s="192">
        <f t="shared" si="13"/>
        <v>1.87804878</v>
      </c>
      <c r="N27" s="192">
        <f t="shared" si="14"/>
        <v>3</v>
      </c>
      <c r="O27" s="192">
        <f t="shared" si="15"/>
        <v>4</v>
      </c>
      <c r="P27" s="192"/>
      <c r="Q27" s="192">
        <f t="shared" si="16"/>
        <v>2.181818182</v>
      </c>
      <c r="R27" s="175"/>
      <c r="S27" s="175"/>
      <c r="T27" s="160"/>
      <c r="U27" s="181"/>
      <c r="V27" s="181"/>
      <c r="W27" s="181"/>
      <c r="X27" s="181"/>
      <c r="Y27" s="181"/>
      <c r="Z27" s="190"/>
      <c r="AA27" s="182"/>
      <c r="AB27" s="165"/>
      <c r="AC27" s="165"/>
      <c r="AD27" s="165"/>
      <c r="AE27" s="165"/>
      <c r="AF27" s="165"/>
      <c r="AG27" s="165"/>
      <c r="AH27" s="165"/>
      <c r="AI27" s="165"/>
      <c r="AJ27" s="165"/>
      <c r="AK27" s="165"/>
      <c r="AL27" s="165"/>
      <c r="AM27" s="165"/>
      <c r="AN27" s="165"/>
      <c r="AO27" s="165"/>
      <c r="AP27" s="165"/>
      <c r="AQ27" s="165"/>
    </row>
    <row r="28" ht="12.75" hidden="1" customHeight="1">
      <c r="A28" s="173"/>
      <c r="B28" s="193" t="s">
        <v>59</v>
      </c>
      <c r="C28" s="177"/>
      <c r="D28" s="177"/>
      <c r="E28" s="184"/>
      <c r="F28" s="151"/>
      <c r="G28" s="185"/>
      <c r="H28" s="186"/>
      <c r="I28" s="187"/>
      <c r="J28" s="191">
        <f t="shared" si="11"/>
        <v>1.714285714</v>
      </c>
      <c r="L28" s="192">
        <f t="shared" si="12"/>
        <v>0.4285714286</v>
      </c>
      <c r="M28" s="192">
        <f t="shared" si="13"/>
        <v>1.285714286</v>
      </c>
      <c r="N28" s="192">
        <f t="shared" si="14"/>
        <v>2.428571429</v>
      </c>
      <c r="O28" s="192">
        <f t="shared" si="15"/>
        <v>3.857142857</v>
      </c>
      <c r="P28" s="192"/>
      <c r="Q28" s="192">
        <f t="shared" si="16"/>
        <v>2.285714286</v>
      </c>
      <c r="R28" s="175"/>
      <c r="S28" s="175"/>
      <c r="T28" s="160"/>
      <c r="U28" s="181"/>
      <c r="V28" s="181"/>
      <c r="W28" s="181"/>
      <c r="X28" s="181"/>
      <c r="Y28" s="181"/>
      <c r="Z28" s="190"/>
      <c r="AA28" s="182"/>
      <c r="AB28" s="165"/>
      <c r="AC28" s="165"/>
      <c r="AD28" s="165"/>
      <c r="AE28" s="165"/>
      <c r="AF28" s="165"/>
      <c r="AG28" s="165"/>
      <c r="AH28" s="165"/>
      <c r="AI28" s="165"/>
      <c r="AJ28" s="165"/>
      <c r="AK28" s="165"/>
      <c r="AL28" s="165"/>
      <c r="AM28" s="165"/>
      <c r="AN28" s="165"/>
      <c r="AO28" s="165"/>
      <c r="AP28" s="165"/>
      <c r="AQ28" s="165"/>
    </row>
    <row r="29" ht="12.75" hidden="1" customHeight="1">
      <c r="A29" s="173"/>
      <c r="B29" s="193" t="s">
        <v>60</v>
      </c>
      <c r="C29" s="177"/>
      <c r="D29" s="177"/>
      <c r="E29" s="184"/>
      <c r="F29" s="151"/>
      <c r="G29" s="185"/>
      <c r="H29" s="186"/>
      <c r="I29" s="187"/>
      <c r="J29" s="191">
        <f t="shared" si="11"/>
        <v>1.666666667</v>
      </c>
      <c r="L29" s="192">
        <f t="shared" si="12"/>
        <v>0.8</v>
      </c>
      <c r="M29" s="192">
        <f t="shared" si="13"/>
        <v>1.9</v>
      </c>
      <c r="N29" s="192">
        <f t="shared" si="14"/>
        <v>3</v>
      </c>
      <c r="O29" s="192">
        <f t="shared" si="15"/>
        <v>4</v>
      </c>
      <c r="P29" s="192"/>
      <c r="Q29" s="192">
        <f t="shared" si="16"/>
        <v>2.5</v>
      </c>
      <c r="R29" s="175"/>
      <c r="S29" s="175"/>
      <c r="T29" s="160"/>
      <c r="U29" s="181"/>
      <c r="V29" s="181"/>
      <c r="W29" s="181"/>
      <c r="X29" s="181"/>
      <c r="Y29" s="181"/>
      <c r="Z29" s="190"/>
      <c r="AA29" s="182"/>
      <c r="AB29" s="165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5"/>
      <c r="AO29" s="165"/>
      <c r="AP29" s="165"/>
      <c r="AQ29" s="165"/>
    </row>
    <row r="30" ht="12.75" hidden="1" customHeight="1">
      <c r="A30" s="173"/>
      <c r="B30" s="193" t="s">
        <v>61</v>
      </c>
      <c r="C30" s="177"/>
      <c r="D30" s="177"/>
      <c r="E30" s="184"/>
      <c r="F30" s="151"/>
      <c r="G30" s="185"/>
      <c r="H30" s="186"/>
      <c r="I30" s="187"/>
      <c r="J30" s="191">
        <f t="shared" si="11"/>
        <v>1.444444444</v>
      </c>
      <c r="L30" s="192">
        <f t="shared" si="12"/>
        <v>0.5555555556</v>
      </c>
      <c r="M30" s="192">
        <f t="shared" si="13"/>
        <v>1.444444444</v>
      </c>
      <c r="N30" s="192">
        <f t="shared" si="14"/>
        <v>2.833333333</v>
      </c>
      <c r="O30" s="192">
        <f t="shared" si="15"/>
        <v>3.888888889</v>
      </c>
      <c r="P30" s="192"/>
      <c r="Q30" s="192">
        <f t="shared" si="16"/>
        <v>1.833333333</v>
      </c>
      <c r="R30" s="175"/>
      <c r="S30" s="175"/>
      <c r="T30" s="160"/>
      <c r="U30" s="181"/>
      <c r="V30" s="181"/>
      <c r="W30" s="181"/>
      <c r="X30" s="181"/>
      <c r="Y30" s="181"/>
      <c r="Z30" s="190"/>
      <c r="AA30" s="182"/>
      <c r="AB30" s="165"/>
      <c r="AC30" s="165"/>
      <c r="AD30" s="165"/>
      <c r="AE30" s="165"/>
      <c r="AF30" s="165"/>
      <c r="AG30" s="165"/>
      <c r="AH30" s="165"/>
      <c r="AI30" s="165"/>
      <c r="AJ30" s="165"/>
      <c r="AK30" s="165"/>
      <c r="AL30" s="165"/>
      <c r="AM30" s="165"/>
      <c r="AN30" s="165"/>
      <c r="AO30" s="165"/>
      <c r="AP30" s="165"/>
      <c r="AQ30" s="165"/>
    </row>
    <row r="31" ht="12.75" hidden="1" customHeight="1">
      <c r="A31" s="173"/>
      <c r="B31" s="193" t="s">
        <v>62</v>
      </c>
      <c r="C31" s="177"/>
      <c r="D31" s="177"/>
      <c r="E31" s="184"/>
      <c r="F31" s="151"/>
      <c r="G31" s="185"/>
      <c r="H31" s="186"/>
      <c r="I31" s="187"/>
      <c r="J31" s="191">
        <f t="shared" si="11"/>
        <v>1.285714286</v>
      </c>
      <c r="L31" s="192">
        <f t="shared" si="12"/>
        <v>0.5714285714</v>
      </c>
      <c r="M31" s="192">
        <f t="shared" si="13"/>
        <v>1.714285714</v>
      </c>
      <c r="N31" s="192">
        <f t="shared" si="14"/>
        <v>3</v>
      </c>
      <c r="O31" s="192">
        <f t="shared" si="15"/>
        <v>4</v>
      </c>
      <c r="P31" s="192"/>
      <c r="Q31" s="192">
        <f t="shared" si="16"/>
        <v>2</v>
      </c>
      <c r="R31" s="175"/>
      <c r="S31" s="175"/>
      <c r="T31" s="160"/>
      <c r="U31" s="181"/>
      <c r="V31" s="181"/>
      <c r="W31" s="181"/>
      <c r="X31" s="181"/>
      <c r="Y31" s="181"/>
      <c r="Z31" s="190"/>
      <c r="AA31" s="182"/>
      <c r="AB31" s="165"/>
      <c r="AC31" s="165"/>
      <c r="AD31" s="165"/>
      <c r="AE31" s="165"/>
      <c r="AF31" s="165"/>
      <c r="AG31" s="165"/>
      <c r="AH31" s="165"/>
      <c r="AI31" s="165"/>
      <c r="AJ31" s="165"/>
      <c r="AK31" s="165"/>
      <c r="AL31" s="165"/>
      <c r="AM31" s="165"/>
      <c r="AN31" s="165"/>
      <c r="AO31" s="165"/>
      <c r="AP31" s="165"/>
      <c r="AQ31" s="165"/>
    </row>
    <row r="32" ht="48.75" hidden="1" customHeight="1">
      <c r="A32" s="173"/>
      <c r="B32" s="177"/>
      <c r="C32" s="177"/>
      <c r="D32" s="194"/>
      <c r="E32" s="194"/>
      <c r="F32" s="151"/>
      <c r="G32" s="178"/>
      <c r="H32" s="179"/>
      <c r="I32" s="180"/>
      <c r="J32" s="180"/>
      <c r="K32" s="180"/>
      <c r="L32" s="180"/>
      <c r="M32" s="180"/>
      <c r="N32" s="180"/>
      <c r="O32" s="180"/>
      <c r="P32" s="175"/>
      <c r="Q32" s="175"/>
      <c r="R32" s="175"/>
      <c r="S32" s="175"/>
      <c r="T32" s="160"/>
      <c r="U32" s="195"/>
      <c r="V32" s="195"/>
      <c r="W32" s="195"/>
      <c r="X32" s="181"/>
      <c r="Y32" s="196"/>
      <c r="Z32" s="197"/>
      <c r="AA32" s="165"/>
      <c r="AB32" s="165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5"/>
      <c r="AO32" s="165"/>
      <c r="AP32" s="165"/>
      <c r="AQ32" s="165"/>
    </row>
    <row r="33" ht="37.5" customHeight="1">
      <c r="A33" s="198"/>
      <c r="B33" s="140" t="s">
        <v>63</v>
      </c>
      <c r="C33" s="180"/>
      <c r="D33" s="180"/>
      <c r="E33" s="180"/>
      <c r="F33" s="180"/>
      <c r="G33" s="199" t="s">
        <v>64</v>
      </c>
      <c r="H33" s="200" t="s">
        <v>65</v>
      </c>
      <c r="I33" s="201"/>
      <c r="J33" s="202" t="s">
        <v>66</v>
      </c>
      <c r="K33" s="202"/>
      <c r="L33" s="203" t="s">
        <v>67</v>
      </c>
      <c r="M33" s="203" t="s">
        <v>68</v>
      </c>
      <c r="N33" s="203" t="s">
        <v>69</v>
      </c>
      <c r="O33" s="203" t="s">
        <v>70</v>
      </c>
      <c r="P33" s="204"/>
      <c r="Q33" s="205" t="s">
        <v>71</v>
      </c>
      <c r="R33" s="175"/>
      <c r="S33" s="175"/>
      <c r="T33" s="206"/>
      <c r="U33" s="207"/>
      <c r="V33" s="207"/>
      <c r="W33" s="207"/>
      <c r="X33" s="208"/>
      <c r="Y33" s="196"/>
      <c r="Z33" s="209"/>
      <c r="AA33" s="210"/>
      <c r="AB33" s="210"/>
      <c r="AC33" s="210"/>
      <c r="AD33" s="210"/>
      <c r="AE33" s="210"/>
      <c r="AF33" s="210"/>
      <c r="AG33" s="210"/>
      <c r="AH33" s="210"/>
      <c r="AI33" s="210"/>
      <c r="AJ33" s="210"/>
      <c r="AK33" s="210"/>
      <c r="AL33" s="210"/>
      <c r="AM33" s="210"/>
      <c r="AN33" s="210"/>
      <c r="AO33" s="210"/>
      <c r="AP33" s="210"/>
      <c r="AQ33" s="210"/>
    </row>
    <row r="34" ht="15.0" hidden="1" customHeight="1">
      <c r="A34" s="211"/>
      <c r="B34" s="212"/>
      <c r="C34" s="212"/>
      <c r="D34" s="212"/>
      <c r="E34" s="212"/>
      <c r="F34" s="212"/>
      <c r="G34" s="213"/>
      <c r="H34" s="214"/>
      <c r="I34" s="201"/>
      <c r="J34" s="215"/>
      <c r="K34" s="215"/>
      <c r="L34" s="216"/>
      <c r="M34" s="216"/>
      <c r="N34" s="216"/>
      <c r="O34" s="216"/>
      <c r="P34" s="175"/>
      <c r="Q34" s="175"/>
      <c r="R34" s="217"/>
      <c r="S34" s="217"/>
      <c r="T34" s="160"/>
      <c r="U34" s="207"/>
      <c r="V34" s="207"/>
      <c r="W34" s="207"/>
      <c r="X34" s="181"/>
      <c r="Y34" s="181"/>
      <c r="Z34" s="218"/>
      <c r="AA34" s="210"/>
      <c r="AB34" s="210"/>
      <c r="AC34" s="210"/>
      <c r="AD34" s="210"/>
      <c r="AE34" s="210"/>
      <c r="AF34" s="210"/>
      <c r="AG34" s="210"/>
      <c r="AH34" s="210"/>
      <c r="AI34" s="210"/>
      <c r="AJ34" s="210"/>
      <c r="AK34" s="210"/>
      <c r="AL34" s="210"/>
      <c r="AM34" s="210"/>
      <c r="AN34" s="210"/>
      <c r="AO34" s="210"/>
      <c r="AP34" s="210"/>
      <c r="AQ34" s="210"/>
    </row>
    <row r="35" ht="15.0" hidden="1" customHeight="1">
      <c r="A35" s="211"/>
      <c r="B35" s="219"/>
      <c r="C35" s="220"/>
      <c r="D35" s="220"/>
      <c r="E35" s="220"/>
      <c r="F35" s="220"/>
      <c r="G35" s="221"/>
      <c r="H35" s="214"/>
      <c r="I35" s="201"/>
      <c r="J35" s="215"/>
      <c r="K35" s="215"/>
      <c r="L35" s="222"/>
      <c r="M35" s="222"/>
      <c r="N35" s="222"/>
      <c r="O35" s="222"/>
      <c r="P35" s="175"/>
      <c r="Q35" s="175"/>
      <c r="R35" s="217"/>
      <c r="S35" s="217"/>
      <c r="T35" s="223"/>
      <c r="U35" s="207"/>
      <c r="V35" s="207"/>
      <c r="W35" s="207"/>
      <c r="X35" s="181"/>
      <c r="Y35" s="181"/>
      <c r="Z35" s="218"/>
      <c r="AA35" s="210"/>
      <c r="AB35" s="210"/>
      <c r="AC35" s="210"/>
      <c r="AD35" s="210"/>
      <c r="AE35" s="210"/>
      <c r="AF35" s="210"/>
      <c r="AG35" s="210"/>
      <c r="AH35" s="210"/>
      <c r="AI35" s="210"/>
      <c r="AJ35" s="210"/>
      <c r="AK35" s="210"/>
      <c r="AL35" s="210"/>
      <c r="AM35" s="210"/>
      <c r="AN35" s="210"/>
      <c r="AO35" s="210"/>
      <c r="AP35" s="210"/>
      <c r="AQ35" s="210"/>
    </row>
    <row r="36" ht="17.25" customHeight="1">
      <c r="A36" s="224">
        <v>1.0</v>
      </c>
      <c r="B36" s="225" t="s">
        <v>44</v>
      </c>
      <c r="C36" s="226"/>
      <c r="D36" s="226"/>
      <c r="E36" s="227"/>
      <c r="F36" s="228"/>
      <c r="G36" s="229"/>
      <c r="H36" s="230"/>
      <c r="I36" s="231"/>
      <c r="J36" s="232">
        <f>AVERAGEIF(J38:J43,"&gt;= 0")</f>
        <v>1.833333333</v>
      </c>
      <c r="K36" s="233"/>
      <c r="L36" s="234">
        <f t="shared" ref="L36:O36" si="17">AVERAGEIF(L38:L43,"&gt;= 0")</f>
        <v>1.166666667</v>
      </c>
      <c r="M36" s="234">
        <f t="shared" si="17"/>
        <v>2</v>
      </c>
      <c r="N36" s="234">
        <f t="shared" si="17"/>
        <v>2.833333333</v>
      </c>
      <c r="O36" s="234">
        <f t="shared" si="17"/>
        <v>4</v>
      </c>
      <c r="P36" s="232"/>
      <c r="Q36" s="232">
        <f>AVERAGEIF(Q38:Q43,"&gt;= 0")</f>
        <v>2.666666667</v>
      </c>
      <c r="R36" s="235"/>
      <c r="S36" s="235"/>
      <c r="T36" s="236"/>
      <c r="U36" s="207"/>
      <c r="V36" s="207"/>
      <c r="W36" s="207"/>
      <c r="X36" s="181"/>
      <c r="Y36" s="181"/>
      <c r="Z36" s="218"/>
      <c r="AA36" s="201"/>
      <c r="AB36" s="201"/>
      <c r="AC36" s="201"/>
      <c r="AD36" s="201"/>
      <c r="AE36" s="201"/>
      <c r="AF36" s="201"/>
      <c r="AG36" s="201"/>
      <c r="AH36" s="201"/>
      <c r="AI36" s="201"/>
      <c r="AJ36" s="201"/>
      <c r="AK36" s="201"/>
      <c r="AL36" s="201"/>
      <c r="AM36" s="201"/>
      <c r="AN36" s="201"/>
      <c r="AO36" s="201"/>
      <c r="AP36" s="201"/>
      <c r="AQ36" s="201"/>
    </row>
    <row r="37" ht="17.25" customHeight="1" outlineLevel="1">
      <c r="A37" s="237"/>
      <c r="B37" s="4"/>
      <c r="C37" s="238"/>
      <c r="D37" s="239"/>
      <c r="E37" s="239"/>
      <c r="F37" s="240"/>
      <c r="G37" s="241"/>
      <c r="H37" s="139"/>
      <c r="I37" s="242"/>
      <c r="J37" s="243"/>
      <c r="K37" s="243"/>
      <c r="L37" s="244"/>
      <c r="M37" s="244"/>
      <c r="N37" s="244"/>
      <c r="O37" s="244"/>
      <c r="P37" s="245"/>
      <c r="Q37" s="245"/>
      <c r="R37" s="246"/>
      <c r="S37" s="246"/>
      <c r="T37" s="247"/>
      <c r="U37" s="248"/>
      <c r="V37" s="248"/>
      <c r="W37" s="248"/>
      <c r="X37" s="181"/>
      <c r="Y37" s="181"/>
      <c r="Z37" s="218"/>
      <c r="AA37" s="210"/>
      <c r="AB37" s="210"/>
      <c r="AC37" s="210"/>
      <c r="AD37" s="210"/>
      <c r="AE37" s="210"/>
      <c r="AF37" s="210"/>
      <c r="AG37" s="210"/>
      <c r="AH37" s="210"/>
      <c r="AI37" s="210"/>
      <c r="AJ37" s="210"/>
      <c r="AK37" s="210"/>
      <c r="AL37" s="210"/>
      <c r="AM37" s="210"/>
      <c r="AN37" s="210"/>
      <c r="AO37" s="210"/>
      <c r="AP37" s="210"/>
      <c r="AQ37" s="210"/>
    </row>
    <row r="38" ht="17.25" customHeight="1" outlineLevel="1">
      <c r="A38" s="249" t="s">
        <v>72</v>
      </c>
      <c r="B38" s="250" t="s">
        <v>73</v>
      </c>
      <c r="C38" s="251" t="s">
        <v>74</v>
      </c>
      <c r="D38" s="122"/>
      <c r="E38" s="122"/>
      <c r="F38" s="252"/>
      <c r="G38" s="253" t="s">
        <v>56</v>
      </c>
      <c r="H38" s="254" t="s">
        <v>3</v>
      </c>
      <c r="I38" s="255"/>
      <c r="J38" s="256">
        <f>IFERROR(VLOOKUP(H38,Criteria!B:L,7,0),IFERROR(VLOOKUP(H38,Criteria!C:M,7,0),IFERROR(VLOOKUP(H38,Criteria!D:N,7,0),IFERROR(VLOOKUP(H38,Criteria!E:O,7,0),IFERROR(VLOOKUP(H38,Criteria!F:P,7,0),NA())))))</f>
        <v>3</v>
      </c>
      <c r="K38" s="256"/>
      <c r="L38" s="257">
        <v>0.0</v>
      </c>
      <c r="M38" s="257">
        <v>1.0</v>
      </c>
      <c r="N38" s="257">
        <v>2.0</v>
      </c>
      <c r="O38" s="258">
        <f t="shared" ref="O38:O39" si="18">4</f>
        <v>4</v>
      </c>
      <c r="P38" s="256"/>
      <c r="Q38" s="256">
        <v>3.0</v>
      </c>
      <c r="R38" s="217"/>
      <c r="S38" s="217"/>
      <c r="T38" s="259"/>
      <c r="U38" s="260"/>
      <c r="V38" s="261"/>
      <c r="W38" s="261"/>
      <c r="X38" s="262"/>
      <c r="Y38" s="181"/>
      <c r="Z38" s="218"/>
      <c r="AA38" s="210"/>
      <c r="AB38" s="210"/>
      <c r="AC38" s="210"/>
      <c r="AD38" s="210"/>
      <c r="AE38" s="210"/>
      <c r="AF38" s="210"/>
      <c r="AG38" s="210"/>
      <c r="AH38" s="210"/>
      <c r="AI38" s="210"/>
      <c r="AJ38" s="210"/>
      <c r="AK38" s="210"/>
      <c r="AL38" s="210"/>
      <c r="AM38" s="210"/>
      <c r="AN38" s="210"/>
      <c r="AO38" s="210"/>
      <c r="AP38" s="210"/>
      <c r="AQ38" s="210"/>
    </row>
    <row r="39" ht="17.25" customHeight="1" outlineLevel="1">
      <c r="A39" s="249" t="s">
        <v>75</v>
      </c>
      <c r="B39" s="250" t="s">
        <v>76</v>
      </c>
      <c r="C39" s="251" t="s">
        <v>77</v>
      </c>
      <c r="D39" s="122"/>
      <c r="E39" s="122"/>
      <c r="F39" s="252"/>
      <c r="G39" s="253" t="s">
        <v>56</v>
      </c>
      <c r="H39" s="254" t="s">
        <v>3</v>
      </c>
      <c r="I39" s="255"/>
      <c r="J39" s="256">
        <f>IFERROR(VLOOKUP(H39,Criteria!B:L,7,0),IFERROR(VLOOKUP(H39,Criteria!C:M,7,0),IFERROR(VLOOKUP(H39,Criteria!D:N,7,0),IFERROR(VLOOKUP(H39,Criteria!E:O,7,0),IFERROR(VLOOKUP(H39,Criteria!F:P,7,0),NA())))))</f>
        <v>3</v>
      </c>
      <c r="K39" s="256"/>
      <c r="L39" s="257">
        <f>1</f>
        <v>1</v>
      </c>
      <c r="M39" s="257">
        <f t="shared" ref="M39:M40" si="19">2</f>
        <v>2</v>
      </c>
      <c r="N39" s="257">
        <f t="shared" ref="N39:N43" si="20">3</f>
        <v>3</v>
      </c>
      <c r="O39" s="258">
        <f t="shared" si="18"/>
        <v>4</v>
      </c>
      <c r="P39" s="256"/>
      <c r="Q39" s="256">
        <v>3.0</v>
      </c>
      <c r="R39" s="217"/>
      <c r="S39" s="217"/>
      <c r="T39" s="259"/>
      <c r="U39" s="260"/>
      <c r="V39" s="261"/>
      <c r="W39" s="261"/>
      <c r="X39" s="181"/>
      <c r="Y39" s="181"/>
      <c r="Z39" s="218"/>
      <c r="AA39" s="210"/>
      <c r="AB39" s="210"/>
      <c r="AC39" s="210"/>
      <c r="AD39" s="210"/>
      <c r="AE39" s="210"/>
      <c r="AF39" s="210"/>
      <c r="AG39" s="210"/>
      <c r="AH39" s="210"/>
      <c r="AI39" s="210"/>
      <c r="AJ39" s="210"/>
      <c r="AK39" s="210"/>
      <c r="AL39" s="210"/>
      <c r="AM39" s="210"/>
      <c r="AN39" s="210"/>
      <c r="AO39" s="210"/>
      <c r="AP39" s="210"/>
      <c r="AQ39" s="210"/>
    </row>
    <row r="40" ht="17.25" customHeight="1" outlineLevel="1">
      <c r="A40" s="249" t="s">
        <v>78</v>
      </c>
      <c r="B40" s="250" t="s">
        <v>79</v>
      </c>
      <c r="C40" s="251" t="s">
        <v>80</v>
      </c>
      <c r="D40" s="122"/>
      <c r="E40" s="122"/>
      <c r="F40" s="252"/>
      <c r="G40" s="253" t="s">
        <v>56</v>
      </c>
      <c r="H40" s="254" t="s">
        <v>1</v>
      </c>
      <c r="I40" s="255"/>
      <c r="J40" s="256">
        <f>IFERROR(VLOOKUP(H40,Criteria!B:L,7,0),IFERROR(VLOOKUP(H40,Criteria!C:M,7,0),IFERROR(VLOOKUP(H40,Criteria!D:N,7,0),IFERROR(VLOOKUP(H40,Criteria!E:O,7,0),IFERROR(VLOOKUP(H40,Criteria!F:P,7,0),NA())))))</f>
        <v>1</v>
      </c>
      <c r="K40" s="256"/>
      <c r="L40" s="257">
        <v>2.0</v>
      </c>
      <c r="M40" s="257">
        <f t="shared" si="19"/>
        <v>2</v>
      </c>
      <c r="N40" s="257">
        <f t="shared" si="20"/>
        <v>3</v>
      </c>
      <c r="O40" s="257">
        <v>4.0</v>
      </c>
      <c r="P40" s="256"/>
      <c r="Q40" s="256">
        <v>3.0</v>
      </c>
      <c r="R40" s="217"/>
      <c r="S40" s="217"/>
      <c r="T40" s="263"/>
      <c r="U40" s="260"/>
      <c r="V40" s="261"/>
      <c r="W40" s="261"/>
      <c r="X40" s="181"/>
      <c r="Y40" s="181"/>
      <c r="Z40" s="218"/>
      <c r="AA40" s="210"/>
      <c r="AB40" s="210"/>
      <c r="AC40" s="210"/>
      <c r="AD40" s="210"/>
      <c r="AE40" s="210"/>
      <c r="AF40" s="210"/>
      <c r="AG40" s="210"/>
      <c r="AH40" s="210"/>
      <c r="AI40" s="210"/>
      <c r="AJ40" s="210"/>
      <c r="AK40" s="210"/>
      <c r="AL40" s="210"/>
      <c r="AM40" s="210"/>
      <c r="AN40" s="210"/>
      <c r="AO40" s="210"/>
      <c r="AP40" s="210"/>
      <c r="AQ40" s="210"/>
    </row>
    <row r="41" ht="17.25" customHeight="1" outlineLevel="1">
      <c r="A41" s="249" t="s">
        <v>81</v>
      </c>
      <c r="B41" s="250" t="s">
        <v>82</v>
      </c>
      <c r="C41" s="251" t="s">
        <v>83</v>
      </c>
      <c r="D41" s="122"/>
      <c r="E41" s="122"/>
      <c r="F41" s="252"/>
      <c r="G41" s="253" t="s">
        <v>57</v>
      </c>
      <c r="H41" s="254" t="s">
        <v>1</v>
      </c>
      <c r="I41" s="255"/>
      <c r="J41" s="256">
        <f>IFERROR(VLOOKUP(H41,Criteria!B:L,7,0),IFERROR(VLOOKUP(H41,Criteria!C:M,7,0),IFERROR(VLOOKUP(H41,Criteria!D:N,7,0),IFERROR(VLOOKUP(H41,Criteria!E:O,7,0),IFERROR(VLOOKUP(H41,Criteria!F:P,7,0),NA())))))</f>
        <v>1</v>
      </c>
      <c r="K41" s="256"/>
      <c r="L41" s="257">
        <v>2.0</v>
      </c>
      <c r="M41" s="257">
        <v>3.0</v>
      </c>
      <c r="N41" s="257">
        <f t="shared" si="20"/>
        <v>3</v>
      </c>
      <c r="O41" s="258">
        <f t="shared" ref="O41:O43" si="21">4</f>
        <v>4</v>
      </c>
      <c r="P41" s="256"/>
      <c r="Q41" s="256">
        <v>3.0</v>
      </c>
      <c r="R41" s="217"/>
      <c r="S41" s="217"/>
      <c r="T41" s="264"/>
      <c r="U41" s="260"/>
      <c r="V41" s="260"/>
      <c r="W41" s="261"/>
      <c r="X41" s="262"/>
      <c r="Y41" s="181"/>
      <c r="Z41" s="218"/>
      <c r="AA41" s="210"/>
      <c r="AB41" s="210"/>
      <c r="AC41" s="210"/>
      <c r="AD41" s="210"/>
      <c r="AE41" s="210"/>
      <c r="AF41" s="210"/>
      <c r="AG41" s="210"/>
      <c r="AH41" s="210"/>
      <c r="AI41" s="210"/>
      <c r="AJ41" s="210"/>
      <c r="AK41" s="210"/>
      <c r="AL41" s="210"/>
      <c r="AM41" s="210"/>
      <c r="AN41" s="210"/>
      <c r="AO41" s="210"/>
      <c r="AP41" s="210"/>
      <c r="AQ41" s="210"/>
    </row>
    <row r="42" ht="17.25" customHeight="1" outlineLevel="1">
      <c r="A42" s="249" t="s">
        <v>84</v>
      </c>
      <c r="B42" s="250" t="s">
        <v>85</v>
      </c>
      <c r="C42" s="251" t="s">
        <v>86</v>
      </c>
      <c r="D42" s="122"/>
      <c r="E42" s="122"/>
      <c r="F42" s="252"/>
      <c r="G42" s="253" t="s">
        <v>56</v>
      </c>
      <c r="H42" s="254" t="s">
        <v>2</v>
      </c>
      <c r="I42" s="255"/>
      <c r="J42" s="256">
        <f>IFERROR(VLOOKUP(H42,Criteria!B:L,7,0),IFERROR(VLOOKUP(H42,Criteria!C:M,7,0),IFERROR(VLOOKUP(H42,Criteria!D:N,7,0),IFERROR(VLOOKUP(H42,Criteria!E:O,7,0),IFERROR(VLOOKUP(H42,Criteria!F:P,7,0),NA())))))</f>
        <v>2</v>
      </c>
      <c r="K42" s="265"/>
      <c r="L42" s="257">
        <f t="shared" ref="L42:L43" si="22">1</f>
        <v>1</v>
      </c>
      <c r="M42" s="257">
        <f t="shared" ref="M42:M43" si="23">2</f>
        <v>2</v>
      </c>
      <c r="N42" s="257">
        <f t="shared" si="20"/>
        <v>3</v>
      </c>
      <c r="O42" s="258">
        <f t="shared" si="21"/>
        <v>4</v>
      </c>
      <c r="P42" s="265"/>
      <c r="Q42" s="265">
        <v>2.0</v>
      </c>
      <c r="R42" s="217"/>
      <c r="S42" s="217"/>
      <c r="T42" s="264"/>
      <c r="U42" s="260"/>
      <c r="V42" s="261"/>
      <c r="W42" s="261"/>
      <c r="X42" s="181"/>
      <c r="Y42" s="181"/>
      <c r="Z42" s="218"/>
      <c r="AA42" s="210"/>
      <c r="AB42" s="210"/>
      <c r="AC42" s="210"/>
      <c r="AD42" s="210"/>
      <c r="AE42" s="210"/>
      <c r="AF42" s="210"/>
      <c r="AG42" s="210"/>
      <c r="AH42" s="210"/>
      <c r="AI42" s="210"/>
      <c r="AJ42" s="210"/>
      <c r="AK42" s="210"/>
      <c r="AL42" s="210"/>
      <c r="AM42" s="210"/>
      <c r="AN42" s="210"/>
      <c r="AO42" s="210"/>
      <c r="AP42" s="210"/>
      <c r="AQ42" s="210"/>
    </row>
    <row r="43" ht="17.25" customHeight="1" outlineLevel="1">
      <c r="A43" s="249" t="s">
        <v>87</v>
      </c>
      <c r="B43" s="250" t="s">
        <v>88</v>
      </c>
      <c r="C43" s="251" t="s">
        <v>89</v>
      </c>
      <c r="D43" s="122"/>
      <c r="E43" s="122"/>
      <c r="F43" s="252"/>
      <c r="G43" s="253" t="s">
        <v>58</v>
      </c>
      <c r="H43" s="254" t="s">
        <v>1</v>
      </c>
      <c r="I43" s="255"/>
      <c r="J43" s="256">
        <f>IFERROR(VLOOKUP(H43,Criteria!B:L,7,0),IFERROR(VLOOKUP(H43,Criteria!C:M,7,0),IFERROR(VLOOKUP(H43,Criteria!D:N,7,0),IFERROR(VLOOKUP(H43,Criteria!E:O,7,0),IFERROR(VLOOKUP(H43,Criteria!F:P,7,0),NA())))))</f>
        <v>1</v>
      </c>
      <c r="K43" s="265"/>
      <c r="L43" s="257">
        <f t="shared" si="22"/>
        <v>1</v>
      </c>
      <c r="M43" s="257">
        <f t="shared" si="23"/>
        <v>2</v>
      </c>
      <c r="N43" s="257">
        <f t="shared" si="20"/>
        <v>3</v>
      </c>
      <c r="O43" s="258">
        <f t="shared" si="21"/>
        <v>4</v>
      </c>
      <c r="P43" s="265"/>
      <c r="Q43" s="265">
        <v>2.0</v>
      </c>
      <c r="R43" s="217"/>
      <c r="S43" s="217"/>
      <c r="T43" s="264"/>
      <c r="U43" s="260"/>
      <c r="V43" s="261"/>
      <c r="W43" s="261"/>
      <c r="X43" s="181"/>
      <c r="Y43" s="181"/>
      <c r="Z43" s="218"/>
      <c r="AA43" s="210"/>
      <c r="AB43" s="210"/>
      <c r="AC43" s="210"/>
      <c r="AD43" s="210"/>
      <c r="AE43" s="210"/>
      <c r="AF43" s="210"/>
      <c r="AG43" s="210"/>
      <c r="AH43" s="210"/>
      <c r="AI43" s="210"/>
      <c r="AJ43" s="210"/>
      <c r="AK43" s="210"/>
      <c r="AL43" s="210"/>
      <c r="AM43" s="210"/>
      <c r="AN43" s="210"/>
      <c r="AO43" s="210"/>
      <c r="AP43" s="210"/>
      <c r="AQ43" s="210"/>
    </row>
    <row r="44" ht="17.25" customHeight="1" outlineLevel="1">
      <c r="A44" s="266"/>
      <c r="B44" s="267"/>
      <c r="C44" s="267"/>
      <c r="D44" s="267"/>
      <c r="E44" s="267"/>
      <c r="F44" s="267"/>
      <c r="G44" s="221"/>
      <c r="H44" s="267"/>
      <c r="I44" s="268"/>
      <c r="J44" s="256"/>
      <c r="K44" s="256"/>
      <c r="L44" s="269"/>
      <c r="M44" s="269"/>
      <c r="N44" s="269"/>
      <c r="O44" s="269"/>
      <c r="P44" s="270"/>
      <c r="Q44" s="270"/>
      <c r="R44" s="217"/>
      <c r="S44" s="217"/>
      <c r="T44" s="264"/>
      <c r="U44" s="260"/>
      <c r="V44" s="261"/>
      <c r="W44" s="261"/>
      <c r="X44" s="181"/>
      <c r="Y44" s="181"/>
      <c r="Z44" s="218"/>
      <c r="AA44" s="210"/>
      <c r="AB44" s="210"/>
      <c r="AC44" s="210"/>
      <c r="AD44" s="210"/>
      <c r="AE44" s="210"/>
      <c r="AF44" s="210"/>
      <c r="AG44" s="210"/>
      <c r="AH44" s="210"/>
      <c r="AI44" s="210"/>
      <c r="AJ44" s="210"/>
      <c r="AK44" s="210"/>
      <c r="AL44" s="210"/>
      <c r="AM44" s="210"/>
      <c r="AN44" s="210"/>
      <c r="AO44" s="210"/>
      <c r="AP44" s="210"/>
      <c r="AQ44" s="210"/>
    </row>
    <row r="45" ht="17.25" customHeight="1">
      <c r="A45" s="224">
        <v>2.0</v>
      </c>
      <c r="B45" s="225" t="s">
        <v>45</v>
      </c>
      <c r="C45" s="226"/>
      <c r="D45" s="226"/>
      <c r="E45" s="227"/>
      <c r="F45" s="228"/>
      <c r="G45" s="271"/>
      <c r="H45" s="272"/>
      <c r="I45" s="231"/>
      <c r="J45" s="232">
        <f>AVERAGEIF(J47:J53,"&gt;= 0")</f>
        <v>1.428571429</v>
      </c>
      <c r="K45" s="233"/>
      <c r="L45" s="234">
        <f t="shared" ref="L45:O45" si="24">AVERAGEIF(L47:L53,"&gt;= 0")</f>
        <v>0.2857142857</v>
      </c>
      <c r="M45" s="234">
        <f t="shared" si="24"/>
        <v>1.285714286</v>
      </c>
      <c r="N45" s="234">
        <f t="shared" si="24"/>
        <v>2.285714286</v>
      </c>
      <c r="O45" s="234">
        <f t="shared" si="24"/>
        <v>3.857142857</v>
      </c>
      <c r="P45" s="232"/>
      <c r="Q45" s="232">
        <f>AVERAGEIF(Q47:Q53,"&gt;= 0")</f>
        <v>2.142857143</v>
      </c>
      <c r="R45" s="235"/>
      <c r="S45" s="235"/>
      <c r="T45" s="236"/>
      <c r="U45" s="260"/>
      <c r="V45" s="261"/>
      <c r="W45" s="261"/>
      <c r="X45" s="181"/>
      <c r="Y45" s="181"/>
      <c r="Z45" s="218"/>
      <c r="AA45" s="201"/>
      <c r="AB45" s="201"/>
      <c r="AC45" s="201"/>
      <c r="AD45" s="201"/>
      <c r="AE45" s="201"/>
      <c r="AF45" s="201"/>
      <c r="AG45" s="201"/>
      <c r="AH45" s="201"/>
      <c r="AI45" s="201"/>
      <c r="AJ45" s="201"/>
      <c r="AK45" s="201"/>
      <c r="AL45" s="201"/>
      <c r="AM45" s="201"/>
      <c r="AN45" s="201"/>
      <c r="AO45" s="201"/>
      <c r="AP45" s="201"/>
      <c r="AQ45" s="201"/>
    </row>
    <row r="46" ht="17.25" customHeight="1" outlineLevel="1">
      <c r="A46" s="237"/>
      <c r="B46" s="4"/>
      <c r="C46" s="4"/>
      <c r="D46" s="4"/>
      <c r="E46" s="4"/>
      <c r="F46" s="4"/>
      <c r="G46" s="241"/>
      <c r="H46" s="4"/>
      <c r="I46" s="242"/>
      <c r="J46" s="243"/>
      <c r="K46" s="243"/>
      <c r="L46" s="244"/>
      <c r="M46" s="244"/>
      <c r="N46" s="244"/>
      <c r="O46" s="244"/>
      <c r="P46" s="245"/>
      <c r="Q46" s="245"/>
      <c r="R46" s="246"/>
      <c r="S46" s="246"/>
      <c r="T46" s="247"/>
      <c r="U46" s="260"/>
      <c r="V46" s="261"/>
      <c r="W46" s="261"/>
      <c r="X46" s="181"/>
      <c r="Y46" s="181"/>
      <c r="Z46" s="218"/>
      <c r="AA46" s="210"/>
      <c r="AB46" s="210"/>
      <c r="AC46" s="210"/>
      <c r="AD46" s="210"/>
      <c r="AE46" s="210"/>
      <c r="AF46" s="210"/>
      <c r="AG46" s="210"/>
      <c r="AH46" s="210"/>
      <c r="AI46" s="210"/>
      <c r="AJ46" s="210"/>
      <c r="AK46" s="210"/>
      <c r="AL46" s="210"/>
      <c r="AM46" s="210"/>
      <c r="AN46" s="210"/>
      <c r="AO46" s="210"/>
      <c r="AP46" s="210"/>
      <c r="AQ46" s="210"/>
    </row>
    <row r="47" ht="17.25" customHeight="1" outlineLevel="1">
      <c r="A47" s="273" t="s">
        <v>90</v>
      </c>
      <c r="B47" s="250" t="s">
        <v>91</v>
      </c>
      <c r="C47" s="251" t="s">
        <v>92</v>
      </c>
      <c r="D47" s="122"/>
      <c r="E47" s="122"/>
      <c r="F47" s="252"/>
      <c r="G47" s="253" t="s">
        <v>59</v>
      </c>
      <c r="H47" s="274" t="s">
        <v>2</v>
      </c>
      <c r="I47" s="255"/>
      <c r="J47" s="256">
        <f>IFERROR(VLOOKUP(H47,Criteria!B:L,7,0),IFERROR(VLOOKUP(H47,Criteria!C:M,7,0),IFERROR(VLOOKUP(H47,Criteria!D:N,7,0),IFERROR(VLOOKUP(H47,Criteria!E:O,7,0),IFERROR(VLOOKUP(H47,Criteria!F:P,7,0),NA())))))</f>
        <v>2</v>
      </c>
      <c r="K47" s="256"/>
      <c r="L47" s="257">
        <v>0.0</v>
      </c>
      <c r="M47" s="257">
        <v>1.0</v>
      </c>
      <c r="N47" s="257">
        <v>2.0</v>
      </c>
      <c r="O47" s="257">
        <v>3.0</v>
      </c>
      <c r="P47" s="256"/>
      <c r="Q47" s="265">
        <v>2.0</v>
      </c>
      <c r="R47" s="246"/>
      <c r="S47" s="246"/>
      <c r="T47" s="275"/>
      <c r="U47" s="260"/>
      <c r="V47" s="261"/>
      <c r="W47" s="261"/>
      <c r="X47" s="181"/>
      <c r="Y47" s="181"/>
      <c r="Z47" s="218"/>
      <c r="AA47" s="210"/>
      <c r="AB47" s="210"/>
      <c r="AC47" s="210"/>
      <c r="AD47" s="210"/>
      <c r="AE47" s="210"/>
      <c r="AF47" s="210"/>
      <c r="AG47" s="210"/>
      <c r="AH47" s="210"/>
      <c r="AI47" s="210"/>
      <c r="AJ47" s="210"/>
      <c r="AK47" s="210"/>
      <c r="AL47" s="210"/>
      <c r="AM47" s="210"/>
      <c r="AN47" s="210"/>
      <c r="AO47" s="210"/>
      <c r="AP47" s="210"/>
      <c r="AQ47" s="210"/>
    </row>
    <row r="48" ht="17.25" customHeight="1" outlineLevel="1">
      <c r="A48" s="273" t="s">
        <v>93</v>
      </c>
      <c r="B48" s="250" t="s">
        <v>94</v>
      </c>
      <c r="C48" s="251" t="s">
        <v>95</v>
      </c>
      <c r="D48" s="122"/>
      <c r="E48" s="122"/>
      <c r="F48" s="252"/>
      <c r="G48" s="253" t="s">
        <v>59</v>
      </c>
      <c r="H48" s="274" t="s">
        <v>0</v>
      </c>
      <c r="I48" s="255"/>
      <c r="J48" s="256">
        <f>IFERROR(VLOOKUP(H48,Criteria!B:L,7,0),IFERROR(VLOOKUP(H48,Criteria!C:M,7,0),IFERROR(VLOOKUP(H48,Criteria!D:N,7,0),IFERROR(VLOOKUP(H48,Criteria!E:O,7,0),IFERROR(VLOOKUP(H48,Criteria!F:P,7,0),NA())))))</f>
        <v>0</v>
      </c>
      <c r="K48" s="256"/>
      <c r="L48" s="257">
        <v>1.0</v>
      </c>
      <c r="M48" s="257">
        <v>2.0</v>
      </c>
      <c r="N48" s="257">
        <v>3.0</v>
      </c>
      <c r="O48" s="257">
        <v>4.0</v>
      </c>
      <c r="P48" s="256"/>
      <c r="Q48" s="265">
        <v>2.0</v>
      </c>
      <c r="R48" s="246"/>
      <c r="S48" s="246"/>
      <c r="T48" s="275"/>
      <c r="U48" s="260"/>
      <c r="V48" s="261"/>
      <c r="W48" s="261"/>
      <c r="X48" s="181"/>
      <c r="Y48" s="181"/>
      <c r="Z48" s="218"/>
      <c r="AA48" s="210"/>
      <c r="AB48" s="210"/>
      <c r="AC48" s="210"/>
      <c r="AD48" s="210"/>
      <c r="AE48" s="210"/>
      <c r="AF48" s="210"/>
      <c r="AG48" s="210"/>
      <c r="AH48" s="210"/>
      <c r="AI48" s="210"/>
      <c r="AJ48" s="210"/>
      <c r="AK48" s="210"/>
      <c r="AL48" s="210"/>
      <c r="AM48" s="210"/>
      <c r="AN48" s="210"/>
      <c r="AO48" s="210"/>
      <c r="AP48" s="210"/>
      <c r="AQ48" s="210"/>
    </row>
    <row r="49" ht="17.25" customHeight="1" outlineLevel="1">
      <c r="A49" s="273" t="s">
        <v>96</v>
      </c>
      <c r="B49" s="250" t="s">
        <v>97</v>
      </c>
      <c r="C49" s="251" t="s">
        <v>98</v>
      </c>
      <c r="D49" s="122"/>
      <c r="E49" s="122"/>
      <c r="F49" s="252"/>
      <c r="G49" s="253" t="s">
        <v>57</v>
      </c>
      <c r="H49" s="274" t="s">
        <v>1</v>
      </c>
      <c r="I49" s="255"/>
      <c r="J49" s="256">
        <f>IFERROR(VLOOKUP(H49,Criteria!B:L,7,0),IFERROR(VLOOKUP(H49,Criteria!C:M,7,0),IFERROR(VLOOKUP(H49,Criteria!D:N,7,0),IFERROR(VLOOKUP(H49,Criteria!E:O,7,0),IFERROR(VLOOKUP(H49,Criteria!F:P,7,0),NA())))))</f>
        <v>1</v>
      </c>
      <c r="K49" s="256"/>
      <c r="L49" s="257">
        <v>0.0</v>
      </c>
      <c r="M49" s="257">
        <v>2.0</v>
      </c>
      <c r="N49" s="257">
        <v>2.0</v>
      </c>
      <c r="O49" s="258">
        <f t="shared" ref="O49:O53" si="25">4</f>
        <v>4</v>
      </c>
      <c r="P49" s="265"/>
      <c r="Q49" s="265">
        <v>2.0</v>
      </c>
      <c r="R49" s="246"/>
      <c r="S49" s="246"/>
      <c r="T49" s="275"/>
      <c r="U49" s="260"/>
      <c r="V49" s="261"/>
      <c r="W49" s="261"/>
      <c r="X49" s="181"/>
      <c r="Y49" s="181"/>
      <c r="Z49" s="218"/>
      <c r="AA49" s="210"/>
      <c r="AB49" s="210"/>
      <c r="AC49" s="210"/>
      <c r="AD49" s="210"/>
      <c r="AE49" s="210"/>
      <c r="AF49" s="210"/>
      <c r="AG49" s="210"/>
      <c r="AH49" s="210"/>
      <c r="AI49" s="210"/>
      <c r="AJ49" s="210"/>
      <c r="AK49" s="210"/>
      <c r="AL49" s="210"/>
      <c r="AM49" s="210"/>
      <c r="AN49" s="210"/>
      <c r="AO49" s="210"/>
      <c r="AP49" s="210"/>
      <c r="AQ49" s="210"/>
    </row>
    <row r="50" ht="17.25" customHeight="1" outlineLevel="1">
      <c r="A50" s="273" t="s">
        <v>99</v>
      </c>
      <c r="B50" s="250" t="s">
        <v>100</v>
      </c>
      <c r="C50" s="276" t="s">
        <v>101</v>
      </c>
      <c r="D50" s="277"/>
      <c r="E50" s="277"/>
      <c r="F50" s="278"/>
      <c r="G50" s="253" t="s">
        <v>59</v>
      </c>
      <c r="H50" s="274" t="s">
        <v>2</v>
      </c>
      <c r="I50" s="255"/>
      <c r="J50" s="256">
        <f>IFERROR(VLOOKUP(H50,Criteria!B:L,7,0),IFERROR(VLOOKUP(H50,Criteria!C:M,7,0),IFERROR(VLOOKUP(H50,Criteria!D:N,7,0),IFERROR(VLOOKUP(H50,Criteria!E:O,7,0),IFERROR(VLOOKUP(H50,Criteria!F:P,7,0),NA())))))</f>
        <v>2</v>
      </c>
      <c r="K50" s="256"/>
      <c r="L50" s="257">
        <v>0.0</v>
      </c>
      <c r="M50" s="257">
        <v>1.0</v>
      </c>
      <c r="N50" s="257">
        <v>2.0</v>
      </c>
      <c r="O50" s="258">
        <f t="shared" si="25"/>
        <v>4</v>
      </c>
      <c r="P50" s="265"/>
      <c r="Q50" s="265">
        <v>3.0</v>
      </c>
      <c r="R50" s="246"/>
      <c r="S50" s="246"/>
      <c r="T50" s="275"/>
      <c r="U50" s="260"/>
      <c r="V50" s="261"/>
      <c r="W50" s="261"/>
      <c r="X50" s="181"/>
      <c r="Y50" s="181"/>
      <c r="Z50" s="218"/>
      <c r="AA50" s="210"/>
      <c r="AB50" s="210"/>
      <c r="AC50" s="210"/>
      <c r="AD50" s="210"/>
      <c r="AE50" s="210"/>
      <c r="AF50" s="210"/>
      <c r="AG50" s="210"/>
      <c r="AH50" s="210"/>
      <c r="AI50" s="210"/>
      <c r="AJ50" s="210"/>
      <c r="AK50" s="210"/>
      <c r="AL50" s="210"/>
      <c r="AM50" s="210"/>
      <c r="AN50" s="210"/>
      <c r="AO50" s="210"/>
      <c r="AP50" s="210"/>
      <c r="AQ50" s="210"/>
    </row>
    <row r="51" ht="17.25" customHeight="1" outlineLevel="1">
      <c r="A51" s="273" t="s">
        <v>102</v>
      </c>
      <c r="B51" s="250" t="s">
        <v>103</v>
      </c>
      <c r="C51" s="251" t="s">
        <v>104</v>
      </c>
      <c r="D51" s="122"/>
      <c r="E51" s="122"/>
      <c r="F51" s="252"/>
      <c r="G51" s="253" t="s">
        <v>59</v>
      </c>
      <c r="H51" s="274" t="s">
        <v>3</v>
      </c>
      <c r="I51" s="255"/>
      <c r="J51" s="256">
        <f>IFERROR(VLOOKUP(H51,Criteria!B:L,7,0),IFERROR(VLOOKUP(H51,Criteria!C:M,7,0),IFERROR(VLOOKUP(H51,Criteria!D:N,7,0),IFERROR(VLOOKUP(H51,Criteria!E:O,7,0),IFERROR(VLOOKUP(H51,Criteria!F:P,7,0),NA())))))</f>
        <v>3</v>
      </c>
      <c r="K51" s="256"/>
      <c r="L51" s="257">
        <v>0.0</v>
      </c>
      <c r="M51" s="257">
        <v>0.0</v>
      </c>
      <c r="N51" s="257">
        <v>2.0</v>
      </c>
      <c r="O51" s="258">
        <f t="shared" si="25"/>
        <v>4</v>
      </c>
      <c r="P51" s="265"/>
      <c r="Q51" s="265">
        <v>2.0</v>
      </c>
      <c r="R51" s="217"/>
      <c r="S51" s="217"/>
      <c r="T51" s="264"/>
      <c r="U51" s="260"/>
      <c r="V51" s="261"/>
      <c r="W51" s="261"/>
      <c r="X51" s="181"/>
      <c r="Y51" s="181"/>
      <c r="Z51" s="218"/>
      <c r="AA51" s="210"/>
      <c r="AB51" s="210"/>
      <c r="AC51" s="210"/>
      <c r="AD51" s="210"/>
      <c r="AE51" s="210"/>
      <c r="AF51" s="210"/>
      <c r="AG51" s="210"/>
      <c r="AH51" s="210"/>
      <c r="AI51" s="210"/>
      <c r="AJ51" s="210"/>
      <c r="AK51" s="210"/>
      <c r="AL51" s="210"/>
      <c r="AM51" s="210"/>
      <c r="AN51" s="210"/>
      <c r="AO51" s="210"/>
      <c r="AP51" s="210"/>
      <c r="AQ51" s="210"/>
    </row>
    <row r="52" ht="17.25" customHeight="1" outlineLevel="1">
      <c r="A52" s="273" t="s">
        <v>105</v>
      </c>
      <c r="B52" s="250" t="s">
        <v>106</v>
      </c>
      <c r="C52" s="279" t="s">
        <v>107</v>
      </c>
      <c r="D52" s="277"/>
      <c r="E52" s="277"/>
      <c r="F52" s="278"/>
      <c r="G52" s="253" t="s">
        <v>59</v>
      </c>
      <c r="H52" s="274" t="s">
        <v>0</v>
      </c>
      <c r="I52" s="255"/>
      <c r="J52" s="256">
        <f>IFERROR(VLOOKUP(H52,Criteria!B:L,7,0),IFERROR(VLOOKUP(H52,Criteria!C:M,7,0),IFERROR(VLOOKUP(H52,Criteria!D:N,7,0),IFERROR(VLOOKUP(H52,Criteria!E:O,7,0),IFERROR(VLOOKUP(H52,Criteria!F:P,7,0),NA())))))</f>
        <v>0</v>
      </c>
      <c r="K52" s="256"/>
      <c r="L52" s="257">
        <v>0.0</v>
      </c>
      <c r="M52" s="257">
        <v>1.0</v>
      </c>
      <c r="N52" s="257">
        <v>2.0</v>
      </c>
      <c r="O52" s="258">
        <f t="shared" si="25"/>
        <v>4</v>
      </c>
      <c r="P52" s="256"/>
      <c r="Q52" s="265">
        <v>1.0</v>
      </c>
      <c r="R52" s="217"/>
      <c r="S52" s="217"/>
      <c r="T52" s="264"/>
      <c r="U52" s="260"/>
      <c r="V52" s="261"/>
      <c r="W52" s="261"/>
      <c r="X52" s="181"/>
      <c r="Y52" s="181"/>
      <c r="Z52" s="218"/>
      <c r="AA52" s="210"/>
      <c r="AB52" s="210"/>
      <c r="AC52" s="210"/>
      <c r="AD52" s="210"/>
      <c r="AE52" s="210"/>
      <c r="AF52" s="210"/>
      <c r="AG52" s="210"/>
      <c r="AH52" s="210"/>
      <c r="AI52" s="210"/>
      <c r="AJ52" s="210"/>
      <c r="AK52" s="210"/>
      <c r="AL52" s="210"/>
      <c r="AM52" s="210"/>
      <c r="AN52" s="210"/>
      <c r="AO52" s="210"/>
      <c r="AP52" s="210"/>
      <c r="AQ52" s="210"/>
    </row>
    <row r="53" ht="17.25" customHeight="1" outlineLevel="1">
      <c r="A53" s="273" t="s">
        <v>108</v>
      </c>
      <c r="B53" s="250" t="s">
        <v>109</v>
      </c>
      <c r="C53" s="251" t="s">
        <v>110</v>
      </c>
      <c r="D53" s="122"/>
      <c r="E53" s="122"/>
      <c r="F53" s="252"/>
      <c r="G53" s="253" t="s">
        <v>60</v>
      </c>
      <c r="H53" s="274" t="s">
        <v>2</v>
      </c>
      <c r="I53" s="255"/>
      <c r="J53" s="256">
        <f>IFERROR(VLOOKUP(H53,Criteria!B:L,7,0),IFERROR(VLOOKUP(H53,Criteria!C:M,7,0),IFERROR(VLOOKUP(H53,Criteria!D:N,7,0),IFERROR(VLOOKUP(H53,Criteria!E:O,7,0),IFERROR(VLOOKUP(H53,Criteria!F:P,7,0),NA())))))</f>
        <v>2</v>
      </c>
      <c r="K53" s="256"/>
      <c r="L53" s="257">
        <v>1.0</v>
      </c>
      <c r="M53" s="257">
        <v>2.0</v>
      </c>
      <c r="N53" s="257">
        <f>3</f>
        <v>3</v>
      </c>
      <c r="O53" s="258">
        <f t="shared" si="25"/>
        <v>4</v>
      </c>
      <c r="P53" s="256"/>
      <c r="Q53" s="256">
        <v>3.0</v>
      </c>
      <c r="R53" s="217"/>
      <c r="S53" s="217"/>
      <c r="T53" s="264"/>
      <c r="U53" s="260"/>
      <c r="V53" s="261"/>
      <c r="W53" s="261"/>
      <c r="X53" s="181"/>
      <c r="Y53" s="181"/>
      <c r="Z53" s="218"/>
      <c r="AA53" s="210"/>
      <c r="AB53" s="210"/>
      <c r="AC53" s="210"/>
      <c r="AD53" s="210"/>
      <c r="AE53" s="210"/>
      <c r="AF53" s="210"/>
      <c r="AG53" s="210"/>
      <c r="AH53" s="210"/>
      <c r="AI53" s="210"/>
      <c r="AJ53" s="210"/>
      <c r="AK53" s="210"/>
      <c r="AL53" s="210"/>
      <c r="AM53" s="210"/>
      <c r="AN53" s="210"/>
      <c r="AO53" s="210"/>
      <c r="AP53" s="210"/>
      <c r="AQ53" s="210"/>
    </row>
    <row r="54" ht="17.25" customHeight="1" outlineLevel="1">
      <c r="A54" s="280"/>
      <c r="B54" s="281"/>
      <c r="C54" s="281"/>
      <c r="D54" s="281"/>
      <c r="E54" s="281"/>
      <c r="F54" s="281"/>
      <c r="G54" s="282"/>
      <c r="H54" s="283"/>
      <c r="I54" s="284"/>
      <c r="J54" s="256"/>
      <c r="K54" s="256"/>
      <c r="L54" s="258"/>
      <c r="M54" s="258"/>
      <c r="N54" s="258"/>
      <c r="O54" s="258"/>
      <c r="P54" s="270"/>
      <c r="Q54" s="270"/>
      <c r="R54" s="217"/>
      <c r="S54" s="217"/>
      <c r="T54" s="264"/>
      <c r="U54" s="285"/>
      <c r="V54" s="286"/>
      <c r="W54" s="286"/>
      <c r="X54" s="181"/>
      <c r="Y54" s="181"/>
      <c r="Z54" s="218"/>
      <c r="AA54" s="210"/>
      <c r="AB54" s="210"/>
      <c r="AC54" s="210"/>
      <c r="AD54" s="210"/>
      <c r="AE54" s="210"/>
      <c r="AF54" s="210"/>
      <c r="AG54" s="210"/>
      <c r="AH54" s="210"/>
      <c r="AI54" s="210"/>
      <c r="AJ54" s="210"/>
      <c r="AK54" s="210"/>
      <c r="AL54" s="210"/>
      <c r="AM54" s="210"/>
      <c r="AN54" s="210"/>
      <c r="AO54" s="210"/>
      <c r="AP54" s="210"/>
      <c r="AQ54" s="210"/>
    </row>
    <row r="55" ht="17.25" customHeight="1">
      <c r="A55" s="224">
        <v>3.0</v>
      </c>
      <c r="B55" s="1" t="s">
        <v>46</v>
      </c>
      <c r="C55" s="225"/>
      <c r="D55" s="226"/>
      <c r="E55" s="226"/>
      <c r="F55" s="227"/>
      <c r="G55" s="271"/>
      <c r="H55" s="287"/>
      <c r="I55" s="231"/>
      <c r="J55" s="232">
        <f>AVERAGEIF(J57:J68,"&gt;= 0")</f>
        <v>1.333333333</v>
      </c>
      <c r="K55" s="233"/>
      <c r="L55" s="234">
        <f t="shared" ref="L55:O55" si="26">AVERAGEIF(L57:L68,"&gt;= 0")</f>
        <v>0.4166666667</v>
      </c>
      <c r="M55" s="234">
        <f t="shared" si="26"/>
        <v>1.583333333</v>
      </c>
      <c r="N55" s="234">
        <f t="shared" si="26"/>
        <v>2.916666667</v>
      </c>
      <c r="O55" s="234">
        <f t="shared" si="26"/>
        <v>4</v>
      </c>
      <c r="P55" s="232"/>
      <c r="Q55" s="232">
        <f>AVERAGEIF(Q57:Q63,"&gt;= 0")</f>
        <v>2.428571429</v>
      </c>
      <c r="R55" s="235"/>
      <c r="S55" s="235"/>
      <c r="T55" s="288"/>
      <c r="U55" s="289"/>
      <c r="V55" s="290"/>
      <c r="W55" s="290"/>
      <c r="X55" s="181"/>
      <c r="Y55" s="181"/>
      <c r="Z55" s="218"/>
      <c r="AA55" s="201"/>
      <c r="AB55" s="201"/>
      <c r="AC55" s="201"/>
      <c r="AD55" s="201"/>
      <c r="AE55" s="201"/>
      <c r="AF55" s="201"/>
      <c r="AG55" s="201"/>
      <c r="AH55" s="201"/>
      <c r="AI55" s="201"/>
      <c r="AJ55" s="201"/>
      <c r="AK55" s="201"/>
      <c r="AL55" s="201"/>
      <c r="AM55" s="201"/>
      <c r="AN55" s="201"/>
      <c r="AO55" s="201"/>
      <c r="AP55" s="201"/>
      <c r="AQ55" s="201"/>
    </row>
    <row r="56" ht="17.25" customHeight="1" outlineLevel="1">
      <c r="A56" s="237"/>
      <c r="B56" s="4"/>
      <c r="C56" s="4"/>
      <c r="D56" s="4"/>
      <c r="E56" s="4"/>
      <c r="F56" s="4"/>
      <c r="G56" s="241"/>
      <c r="H56" s="139"/>
      <c r="I56" s="242"/>
      <c r="J56" s="243"/>
      <c r="K56" s="243"/>
      <c r="L56" s="244"/>
      <c r="M56" s="244"/>
      <c r="N56" s="244"/>
      <c r="O56" s="244"/>
      <c r="P56" s="245"/>
      <c r="Q56" s="245"/>
      <c r="R56" s="246"/>
      <c r="S56" s="246"/>
      <c r="T56" s="291"/>
      <c r="U56" s="260"/>
      <c r="V56" s="261"/>
      <c r="W56" s="261"/>
      <c r="X56" s="181"/>
      <c r="Y56" s="181"/>
      <c r="Z56" s="218"/>
      <c r="AA56" s="210"/>
      <c r="AB56" s="210"/>
      <c r="AC56" s="210"/>
      <c r="AD56" s="210"/>
      <c r="AE56" s="210"/>
      <c r="AF56" s="210"/>
      <c r="AG56" s="210"/>
      <c r="AH56" s="210"/>
      <c r="AI56" s="210"/>
      <c r="AJ56" s="210"/>
      <c r="AK56" s="210"/>
      <c r="AL56" s="210"/>
      <c r="AM56" s="210"/>
      <c r="AN56" s="210"/>
      <c r="AO56" s="210"/>
      <c r="AP56" s="210"/>
      <c r="AQ56" s="210"/>
    </row>
    <row r="57" ht="17.25" customHeight="1" outlineLevel="1">
      <c r="A57" s="249" t="s">
        <v>111</v>
      </c>
      <c r="B57" s="250" t="s">
        <v>112</v>
      </c>
      <c r="C57" s="251" t="s">
        <v>113</v>
      </c>
      <c r="D57" s="122"/>
      <c r="E57" s="122"/>
      <c r="F57" s="252"/>
      <c r="G57" s="253" t="s">
        <v>58</v>
      </c>
      <c r="H57" s="274" t="s">
        <v>2</v>
      </c>
      <c r="I57" s="255"/>
      <c r="J57" s="256">
        <f>IFERROR(VLOOKUP(H57,Criteria!B:L,7,0),IFERROR(VLOOKUP(H57,Criteria!C:M,7,0),IFERROR(VLOOKUP(H57,Criteria!D:N,7,0),IFERROR(VLOOKUP(H57,Criteria!E:O,7,0),IFERROR(VLOOKUP(H57,Criteria!F:P,7,0),NA())))))</f>
        <v>2</v>
      </c>
      <c r="K57" s="256"/>
      <c r="L57" s="292">
        <v>0.0</v>
      </c>
      <c r="M57" s="293">
        <f>2</f>
        <v>2</v>
      </c>
      <c r="N57" s="294">
        <f t="shared" ref="N57:N58" si="27">3</f>
        <v>3</v>
      </c>
      <c r="O57" s="295">
        <f t="shared" ref="O57:O68" si="28">4</f>
        <v>4</v>
      </c>
      <c r="P57" s="256"/>
      <c r="Q57" s="256">
        <v>3.0</v>
      </c>
      <c r="R57" s="217"/>
      <c r="S57" s="217"/>
      <c r="T57" s="296"/>
      <c r="U57" s="260"/>
      <c r="V57" s="261"/>
      <c r="W57" s="261"/>
      <c r="X57" s="181"/>
      <c r="Y57" s="181"/>
      <c r="Z57" s="218"/>
      <c r="AA57" s="210"/>
      <c r="AB57" s="210"/>
      <c r="AC57" s="210"/>
      <c r="AD57" s="210"/>
      <c r="AE57" s="210"/>
      <c r="AF57" s="210"/>
      <c r="AG57" s="210"/>
      <c r="AH57" s="210"/>
      <c r="AI57" s="210"/>
      <c r="AJ57" s="210"/>
      <c r="AK57" s="210"/>
      <c r="AL57" s="210"/>
      <c r="AM57" s="210"/>
      <c r="AN57" s="210"/>
      <c r="AO57" s="210"/>
      <c r="AP57" s="210"/>
      <c r="AQ57" s="210"/>
    </row>
    <row r="58" ht="17.25" customHeight="1" outlineLevel="1">
      <c r="A58" s="249" t="s">
        <v>114</v>
      </c>
      <c r="B58" s="250" t="s">
        <v>115</v>
      </c>
      <c r="C58" s="297" t="s">
        <v>116</v>
      </c>
      <c r="D58" s="298"/>
      <c r="E58" s="298"/>
      <c r="F58" s="299"/>
      <c r="G58" s="253" t="s">
        <v>58</v>
      </c>
      <c r="H58" s="274" t="s">
        <v>0</v>
      </c>
      <c r="I58" s="255"/>
      <c r="J58" s="256">
        <f>IFERROR(VLOOKUP(H58,Criteria!B:L,7,0),IFERROR(VLOOKUP(H58,Criteria!C:M,7,0),IFERROR(VLOOKUP(H58,Criteria!D:N,7,0),IFERROR(VLOOKUP(H58,Criteria!E:O,7,0),IFERROR(VLOOKUP(H58,Criteria!F:P,7,0),NA())))))</f>
        <v>0</v>
      </c>
      <c r="K58" s="256"/>
      <c r="L58" s="292">
        <v>0.0</v>
      </c>
      <c r="M58" s="300">
        <v>1.0</v>
      </c>
      <c r="N58" s="294">
        <f t="shared" si="27"/>
        <v>3</v>
      </c>
      <c r="O58" s="295">
        <f t="shared" si="28"/>
        <v>4</v>
      </c>
      <c r="P58" s="265"/>
      <c r="Q58" s="265">
        <v>3.0</v>
      </c>
      <c r="R58" s="217"/>
      <c r="S58" s="217"/>
      <c r="T58" s="301"/>
      <c r="U58" s="260"/>
      <c r="V58" s="261"/>
      <c r="W58" s="261"/>
      <c r="X58" s="181"/>
      <c r="Y58" s="181"/>
      <c r="Z58" s="218"/>
      <c r="AA58" s="210"/>
      <c r="AB58" s="210"/>
      <c r="AC58" s="210"/>
      <c r="AD58" s="210"/>
      <c r="AE58" s="210"/>
      <c r="AF58" s="210"/>
      <c r="AG58" s="210"/>
      <c r="AH58" s="210"/>
      <c r="AI58" s="210"/>
      <c r="AJ58" s="210"/>
      <c r="AK58" s="210"/>
      <c r="AL58" s="210"/>
      <c r="AM58" s="210"/>
      <c r="AN58" s="210"/>
      <c r="AO58" s="210"/>
      <c r="AP58" s="210"/>
      <c r="AQ58" s="210"/>
    </row>
    <row r="59" ht="17.25" customHeight="1" outlineLevel="1">
      <c r="A59" s="249" t="s">
        <v>117</v>
      </c>
      <c r="B59" s="250" t="s">
        <v>118</v>
      </c>
      <c r="C59" s="297" t="s">
        <v>119</v>
      </c>
      <c r="D59" s="298"/>
      <c r="E59" s="298"/>
      <c r="F59" s="299"/>
      <c r="G59" s="253" t="s">
        <v>58</v>
      </c>
      <c r="H59" s="274" t="s">
        <v>1</v>
      </c>
      <c r="I59" s="255"/>
      <c r="J59" s="256">
        <f>IFERROR(VLOOKUP(H59,Criteria!B:L,7,0),IFERROR(VLOOKUP(H59,Criteria!C:M,7,0),IFERROR(VLOOKUP(H59,Criteria!D:N,7,0),IFERROR(VLOOKUP(H59,Criteria!E:O,7,0),IFERROR(VLOOKUP(H59,Criteria!F:P,7,0),NA())))))</f>
        <v>1</v>
      </c>
      <c r="K59" s="256"/>
      <c r="L59" s="292">
        <v>0.0</v>
      </c>
      <c r="M59" s="300">
        <v>1.0</v>
      </c>
      <c r="N59" s="302">
        <v>3.0</v>
      </c>
      <c r="O59" s="295">
        <f t="shared" si="28"/>
        <v>4</v>
      </c>
      <c r="P59" s="265"/>
      <c r="Q59" s="265">
        <v>2.0</v>
      </c>
      <c r="R59" s="217"/>
      <c r="S59" s="217"/>
      <c r="T59" s="301"/>
      <c r="U59" s="260"/>
      <c r="V59" s="261"/>
      <c r="W59" s="261"/>
      <c r="X59" s="181"/>
      <c r="Y59" s="181"/>
      <c r="Z59" s="218"/>
      <c r="AA59" s="210"/>
      <c r="AB59" s="210"/>
      <c r="AC59" s="210"/>
      <c r="AD59" s="210"/>
      <c r="AE59" s="210"/>
      <c r="AF59" s="210"/>
      <c r="AG59" s="210"/>
      <c r="AH59" s="210"/>
      <c r="AI59" s="210"/>
      <c r="AJ59" s="210"/>
      <c r="AK59" s="210"/>
      <c r="AL59" s="210"/>
      <c r="AM59" s="210"/>
      <c r="AN59" s="210"/>
      <c r="AO59" s="210"/>
      <c r="AP59" s="210"/>
      <c r="AQ59" s="210"/>
    </row>
    <row r="60" ht="17.25" customHeight="1" outlineLevel="1">
      <c r="A60" s="249" t="s">
        <v>120</v>
      </c>
      <c r="B60" s="250" t="s">
        <v>121</v>
      </c>
      <c r="C60" s="303" t="s">
        <v>122</v>
      </c>
      <c r="D60" s="298"/>
      <c r="E60" s="298"/>
      <c r="F60" s="299"/>
      <c r="G60" s="253" t="s">
        <v>58</v>
      </c>
      <c r="H60" s="274" t="s">
        <v>2</v>
      </c>
      <c r="I60" s="255"/>
      <c r="J60" s="256">
        <f>IFERROR(VLOOKUP(H60,Criteria!B:L,7,0),IFERROR(VLOOKUP(H60,Criteria!C:M,7,0),IFERROR(VLOOKUP(H60,Criteria!D:N,7,0),IFERROR(VLOOKUP(H60,Criteria!E:O,7,0),IFERROR(VLOOKUP(H60,Criteria!F:P,7,0),NA())))))</f>
        <v>2</v>
      </c>
      <c r="K60" s="256"/>
      <c r="L60" s="292">
        <v>2.0</v>
      </c>
      <c r="M60" s="300">
        <v>3.0</v>
      </c>
      <c r="N60" s="294">
        <f>3</f>
        <v>3</v>
      </c>
      <c r="O60" s="295">
        <f t="shared" si="28"/>
        <v>4</v>
      </c>
      <c r="P60" s="256"/>
      <c r="Q60" s="256">
        <v>3.0</v>
      </c>
      <c r="R60" s="217"/>
      <c r="S60" s="217"/>
      <c r="T60" s="304"/>
      <c r="U60" s="260"/>
      <c r="V60" s="261"/>
      <c r="W60" s="261"/>
      <c r="X60" s="181"/>
      <c r="Y60" s="181"/>
      <c r="Z60" s="218"/>
      <c r="AA60" s="210"/>
      <c r="AB60" s="210"/>
      <c r="AC60" s="210"/>
      <c r="AD60" s="210"/>
      <c r="AE60" s="210"/>
      <c r="AF60" s="210"/>
      <c r="AG60" s="210"/>
      <c r="AH60" s="210"/>
      <c r="AI60" s="210"/>
      <c r="AJ60" s="210"/>
      <c r="AK60" s="210"/>
      <c r="AL60" s="210"/>
      <c r="AM60" s="210"/>
      <c r="AN60" s="210"/>
      <c r="AO60" s="210"/>
      <c r="AP60" s="210"/>
      <c r="AQ60" s="210"/>
    </row>
    <row r="61" ht="17.25" customHeight="1" outlineLevel="1">
      <c r="A61" s="249" t="s">
        <v>123</v>
      </c>
      <c r="B61" s="250" t="s">
        <v>124</v>
      </c>
      <c r="C61" s="303" t="s">
        <v>125</v>
      </c>
      <c r="D61" s="298"/>
      <c r="E61" s="298"/>
      <c r="F61" s="299"/>
      <c r="G61" s="253" t="s">
        <v>56</v>
      </c>
      <c r="H61" s="274" t="s">
        <v>3</v>
      </c>
      <c r="I61" s="255"/>
      <c r="J61" s="256">
        <f>IFERROR(VLOOKUP(H61,Criteria!B:L,7,0),IFERROR(VLOOKUP(H61,Criteria!C:M,7,0),IFERROR(VLOOKUP(H61,Criteria!D:N,7,0),IFERROR(VLOOKUP(H61,Criteria!E:O,7,0),IFERROR(VLOOKUP(H61,Criteria!F:P,7,0),NA())))))</f>
        <v>3</v>
      </c>
      <c r="K61" s="256"/>
      <c r="L61" s="292">
        <v>0.0</v>
      </c>
      <c r="M61" s="300">
        <v>1.0</v>
      </c>
      <c r="N61" s="302">
        <v>3.0</v>
      </c>
      <c r="O61" s="295">
        <f t="shared" si="28"/>
        <v>4</v>
      </c>
      <c r="P61" s="256"/>
      <c r="Q61" s="256">
        <v>3.0</v>
      </c>
      <c r="R61" s="217"/>
      <c r="S61" s="217"/>
      <c r="T61" s="264"/>
      <c r="U61" s="260"/>
      <c r="V61" s="261"/>
      <c r="W61" s="261"/>
      <c r="X61" s="181"/>
      <c r="Y61" s="181"/>
      <c r="Z61" s="218"/>
      <c r="AA61" s="210"/>
      <c r="AB61" s="210"/>
      <c r="AC61" s="210"/>
      <c r="AD61" s="210"/>
      <c r="AE61" s="210"/>
      <c r="AF61" s="210"/>
      <c r="AG61" s="210"/>
      <c r="AH61" s="210"/>
      <c r="AI61" s="210"/>
      <c r="AJ61" s="210"/>
      <c r="AK61" s="210"/>
      <c r="AL61" s="210"/>
      <c r="AM61" s="210"/>
      <c r="AN61" s="210"/>
      <c r="AO61" s="210"/>
      <c r="AP61" s="210"/>
      <c r="AQ61" s="210"/>
    </row>
    <row r="62" ht="17.25" customHeight="1" outlineLevel="1">
      <c r="A62" s="249" t="s">
        <v>126</v>
      </c>
      <c r="B62" s="250" t="s">
        <v>127</v>
      </c>
      <c r="C62" s="303" t="s">
        <v>128</v>
      </c>
      <c r="D62" s="298"/>
      <c r="E62" s="298"/>
      <c r="F62" s="299"/>
      <c r="G62" s="253" t="s">
        <v>58</v>
      </c>
      <c r="H62" s="274" t="s">
        <v>2</v>
      </c>
      <c r="I62" s="255"/>
      <c r="J62" s="256">
        <f>IFERROR(VLOOKUP(H62,Criteria!B:L,7,0),IFERROR(VLOOKUP(H62,Criteria!C:M,7,0),IFERROR(VLOOKUP(H62,Criteria!D:N,7,0),IFERROR(VLOOKUP(H62,Criteria!E:O,7,0),IFERROR(VLOOKUP(H62,Criteria!F:P,7,0),NA())))))</f>
        <v>2</v>
      </c>
      <c r="K62" s="256"/>
      <c r="L62" s="292">
        <v>0.0</v>
      </c>
      <c r="M62" s="293">
        <f>2</f>
        <v>2</v>
      </c>
      <c r="N62" s="294">
        <f>3</f>
        <v>3</v>
      </c>
      <c r="O62" s="295">
        <f t="shared" si="28"/>
        <v>4</v>
      </c>
      <c r="P62" s="256"/>
      <c r="Q62" s="265">
        <v>2.0</v>
      </c>
      <c r="R62" s="217"/>
      <c r="S62" s="217"/>
      <c r="T62" s="264"/>
      <c r="U62" s="260"/>
      <c r="V62" s="261"/>
      <c r="W62" s="261"/>
      <c r="X62" s="181"/>
      <c r="Y62" s="181"/>
      <c r="Z62" s="218"/>
      <c r="AA62" s="210"/>
      <c r="AB62" s="210"/>
      <c r="AC62" s="210"/>
      <c r="AD62" s="210"/>
      <c r="AE62" s="210"/>
      <c r="AF62" s="210"/>
      <c r="AG62" s="210"/>
      <c r="AH62" s="210"/>
      <c r="AI62" s="210"/>
      <c r="AJ62" s="210"/>
      <c r="AK62" s="210"/>
      <c r="AL62" s="210"/>
      <c r="AM62" s="210"/>
      <c r="AN62" s="210"/>
      <c r="AO62" s="210"/>
      <c r="AP62" s="210"/>
      <c r="AQ62" s="210"/>
    </row>
    <row r="63" ht="17.25" customHeight="1" outlineLevel="1">
      <c r="A63" s="249" t="s">
        <v>129</v>
      </c>
      <c r="B63" s="250" t="s">
        <v>130</v>
      </c>
      <c r="C63" s="303" t="s">
        <v>131</v>
      </c>
      <c r="D63" s="298"/>
      <c r="E63" s="298"/>
      <c r="F63" s="299"/>
      <c r="G63" s="253" t="s">
        <v>61</v>
      </c>
      <c r="H63" s="274" t="s">
        <v>0</v>
      </c>
      <c r="I63" s="255"/>
      <c r="J63" s="256">
        <f>IFERROR(VLOOKUP(H63,Criteria!B:L,7,0),IFERROR(VLOOKUP(H63,Criteria!C:M,7,0),IFERROR(VLOOKUP(H63,Criteria!D:N,7,0),IFERROR(VLOOKUP(H63,Criteria!E:O,7,0),IFERROR(VLOOKUP(H63,Criteria!F:P,7,0),NA())))))</f>
        <v>0</v>
      </c>
      <c r="K63" s="256"/>
      <c r="L63" s="292">
        <v>0.0</v>
      </c>
      <c r="M63" s="300">
        <v>0.0</v>
      </c>
      <c r="N63" s="302">
        <v>2.0</v>
      </c>
      <c r="O63" s="295">
        <f t="shared" si="28"/>
        <v>4</v>
      </c>
      <c r="P63" s="265"/>
      <c r="Q63" s="265">
        <v>1.0</v>
      </c>
      <c r="R63" s="217"/>
      <c r="S63" s="217"/>
      <c r="T63" s="264"/>
      <c r="U63" s="260"/>
      <c r="V63" s="261"/>
      <c r="W63" s="261"/>
      <c r="X63" s="262" t="s">
        <v>132</v>
      </c>
      <c r="Y63" s="181"/>
      <c r="Z63" s="218"/>
      <c r="AA63" s="210"/>
      <c r="AB63" s="210"/>
      <c r="AC63" s="210"/>
      <c r="AD63" s="210"/>
      <c r="AE63" s="210"/>
      <c r="AF63" s="210"/>
      <c r="AG63" s="210"/>
      <c r="AH63" s="210"/>
      <c r="AI63" s="210"/>
      <c r="AJ63" s="210"/>
      <c r="AK63" s="210"/>
      <c r="AL63" s="210"/>
      <c r="AM63" s="210"/>
      <c r="AN63" s="210"/>
      <c r="AO63" s="210"/>
      <c r="AP63" s="210"/>
      <c r="AQ63" s="210"/>
    </row>
    <row r="64" ht="17.25" customHeight="1" outlineLevel="1">
      <c r="A64" s="249" t="s">
        <v>133</v>
      </c>
      <c r="B64" s="250" t="s">
        <v>134</v>
      </c>
      <c r="C64" s="303" t="s">
        <v>135</v>
      </c>
      <c r="D64" s="298"/>
      <c r="E64" s="298"/>
      <c r="F64" s="299"/>
      <c r="G64" s="253" t="s">
        <v>58</v>
      </c>
      <c r="H64" s="274" t="s">
        <v>1</v>
      </c>
      <c r="I64" s="255"/>
      <c r="J64" s="256">
        <f>IFERROR(VLOOKUP(H64,Criteria!B:L,7,0),IFERROR(VLOOKUP(H64,Criteria!C:M,7,0),IFERROR(VLOOKUP(H64,Criteria!D:N,7,0),IFERROR(VLOOKUP(H64,Criteria!E:O,7,0),IFERROR(VLOOKUP(H64,Criteria!F:P,7,0),NA())))))</f>
        <v>1</v>
      </c>
      <c r="K64" s="305"/>
      <c r="L64" s="306">
        <f t="shared" ref="L64:L65" si="29">1</f>
        <v>1</v>
      </c>
      <c r="M64" s="293">
        <f t="shared" ref="M64:M67" si="30">2</f>
        <v>2</v>
      </c>
      <c r="N64" s="294">
        <f t="shared" ref="N64:N68" si="31">3</f>
        <v>3</v>
      </c>
      <c r="O64" s="295">
        <f t="shared" si="28"/>
        <v>4</v>
      </c>
      <c r="P64" s="256"/>
      <c r="Q64" s="265">
        <v>2.0</v>
      </c>
      <c r="R64" s="217"/>
      <c r="S64" s="217"/>
      <c r="T64" s="264"/>
      <c r="U64" s="260"/>
      <c r="V64" s="261"/>
      <c r="W64" s="261"/>
      <c r="X64" s="181"/>
      <c r="Y64" s="181"/>
      <c r="Z64" s="218"/>
      <c r="AA64" s="210"/>
      <c r="AB64" s="210"/>
      <c r="AC64" s="210"/>
      <c r="AD64" s="210"/>
      <c r="AE64" s="210"/>
      <c r="AF64" s="210"/>
      <c r="AG64" s="210"/>
      <c r="AH64" s="210"/>
      <c r="AI64" s="210"/>
      <c r="AJ64" s="210"/>
      <c r="AK64" s="210"/>
      <c r="AL64" s="210"/>
      <c r="AM64" s="210"/>
      <c r="AN64" s="210"/>
      <c r="AO64" s="210"/>
      <c r="AP64" s="210"/>
      <c r="AQ64" s="210"/>
    </row>
    <row r="65" ht="17.25" customHeight="1" outlineLevel="1">
      <c r="A65" s="249" t="s">
        <v>136</v>
      </c>
      <c r="B65" s="250" t="s">
        <v>137</v>
      </c>
      <c r="C65" s="279" t="s">
        <v>138</v>
      </c>
      <c r="D65" s="277"/>
      <c r="E65" s="277"/>
      <c r="F65" s="278"/>
      <c r="G65" s="253" t="s">
        <v>62</v>
      </c>
      <c r="H65" s="274" t="s">
        <v>2</v>
      </c>
      <c r="I65" s="255"/>
      <c r="J65" s="256">
        <f>IFERROR(VLOOKUP(H65,Criteria!B:L,7,0),IFERROR(VLOOKUP(H65,Criteria!C:M,7,0),IFERROR(VLOOKUP(H65,Criteria!D:N,7,0),IFERROR(VLOOKUP(H65,Criteria!E:O,7,0),IFERROR(VLOOKUP(H65,Criteria!F:P,7,0),NA())))))</f>
        <v>2</v>
      </c>
      <c r="K65" s="305"/>
      <c r="L65" s="306">
        <f t="shared" si="29"/>
        <v>1</v>
      </c>
      <c r="M65" s="293">
        <f t="shared" si="30"/>
        <v>2</v>
      </c>
      <c r="N65" s="294">
        <f t="shared" si="31"/>
        <v>3</v>
      </c>
      <c r="O65" s="295">
        <f t="shared" si="28"/>
        <v>4</v>
      </c>
      <c r="P65" s="256"/>
      <c r="Q65" s="256">
        <v>3.0</v>
      </c>
      <c r="R65" s="217"/>
      <c r="S65" s="217"/>
      <c r="T65" s="264"/>
      <c r="U65" s="260"/>
      <c r="V65" s="261"/>
      <c r="W65" s="261"/>
      <c r="X65" s="262"/>
      <c r="Y65" s="181"/>
      <c r="Z65" s="218"/>
      <c r="AA65" s="210"/>
      <c r="AB65" s="210"/>
      <c r="AC65" s="210"/>
      <c r="AD65" s="210"/>
      <c r="AE65" s="210"/>
      <c r="AF65" s="210"/>
      <c r="AG65" s="210"/>
      <c r="AH65" s="210"/>
      <c r="AI65" s="210"/>
      <c r="AJ65" s="210"/>
      <c r="AK65" s="210"/>
      <c r="AL65" s="210"/>
      <c r="AM65" s="210"/>
      <c r="AN65" s="210"/>
      <c r="AO65" s="210"/>
      <c r="AP65" s="210"/>
      <c r="AQ65" s="210"/>
    </row>
    <row r="66" ht="17.25" customHeight="1" outlineLevel="1">
      <c r="A66" s="249" t="s">
        <v>139</v>
      </c>
      <c r="B66" s="250" t="s">
        <v>140</v>
      </c>
      <c r="C66" s="279" t="s">
        <v>141</v>
      </c>
      <c r="D66" s="277"/>
      <c r="E66" s="277"/>
      <c r="F66" s="278"/>
      <c r="G66" s="253" t="s">
        <v>62</v>
      </c>
      <c r="H66" s="274" t="s">
        <v>3</v>
      </c>
      <c r="I66" s="255"/>
      <c r="J66" s="256">
        <f>IFERROR(VLOOKUP(H66,Criteria!B:L,7,0),IFERROR(VLOOKUP(H66,Criteria!C:M,7,0),IFERROR(VLOOKUP(H66,Criteria!D:N,7,0),IFERROR(VLOOKUP(H66,Criteria!E:O,7,0),IFERROR(VLOOKUP(H66,Criteria!F:P,7,0),NA())))))</f>
        <v>3</v>
      </c>
      <c r="K66" s="305"/>
      <c r="L66" s="292">
        <v>0.0</v>
      </c>
      <c r="M66" s="293">
        <f t="shared" si="30"/>
        <v>2</v>
      </c>
      <c r="N66" s="294">
        <f t="shared" si="31"/>
        <v>3</v>
      </c>
      <c r="O66" s="295">
        <f t="shared" si="28"/>
        <v>4</v>
      </c>
      <c r="P66" s="256"/>
      <c r="Q66" s="256">
        <v>3.0</v>
      </c>
      <c r="R66" s="217"/>
      <c r="S66" s="217"/>
      <c r="T66" s="264"/>
      <c r="U66" s="260"/>
      <c r="V66" s="261"/>
      <c r="W66" s="261"/>
      <c r="X66" s="262"/>
      <c r="Y66" s="181"/>
      <c r="Z66" s="218"/>
      <c r="AA66" s="210"/>
      <c r="AB66" s="210"/>
      <c r="AC66" s="210"/>
      <c r="AD66" s="210"/>
      <c r="AE66" s="210"/>
      <c r="AF66" s="210"/>
      <c r="AG66" s="210"/>
      <c r="AH66" s="210"/>
      <c r="AI66" s="210"/>
      <c r="AJ66" s="210"/>
      <c r="AK66" s="210"/>
      <c r="AL66" s="210"/>
      <c r="AM66" s="210"/>
      <c r="AN66" s="210"/>
      <c r="AO66" s="210"/>
      <c r="AP66" s="210"/>
      <c r="AQ66" s="210"/>
    </row>
    <row r="67" ht="17.25" customHeight="1" outlineLevel="1">
      <c r="A67" s="249" t="s">
        <v>142</v>
      </c>
      <c r="B67" s="250" t="s">
        <v>143</v>
      </c>
      <c r="C67" s="279" t="s">
        <v>144</v>
      </c>
      <c r="D67" s="277"/>
      <c r="E67" s="277"/>
      <c r="F67" s="278"/>
      <c r="G67" s="253" t="s">
        <v>58</v>
      </c>
      <c r="H67" s="274" t="s">
        <v>0</v>
      </c>
      <c r="I67" s="255"/>
      <c r="J67" s="256">
        <f>IFERROR(VLOOKUP(H67,Criteria!B:L,7,0),IFERROR(VLOOKUP(H67,Criteria!C:M,7,0),IFERROR(VLOOKUP(H67,Criteria!D:N,7,0),IFERROR(VLOOKUP(H67,Criteria!E:O,7,0),IFERROR(VLOOKUP(H67,Criteria!F:P,7,0),NA())))))</f>
        <v>0</v>
      </c>
      <c r="K67" s="305"/>
      <c r="L67" s="306">
        <f>1</f>
        <v>1</v>
      </c>
      <c r="M67" s="293">
        <f t="shared" si="30"/>
        <v>2</v>
      </c>
      <c r="N67" s="294">
        <f t="shared" si="31"/>
        <v>3</v>
      </c>
      <c r="O67" s="295">
        <f t="shared" si="28"/>
        <v>4</v>
      </c>
      <c r="P67" s="256"/>
      <c r="Q67" s="265">
        <v>1.0</v>
      </c>
      <c r="R67" s="217"/>
      <c r="S67" s="217"/>
      <c r="T67" s="264"/>
      <c r="U67" s="260"/>
      <c r="V67" s="261"/>
      <c r="W67" s="261"/>
      <c r="X67" s="262"/>
      <c r="Y67" s="181"/>
      <c r="Z67" s="218"/>
      <c r="AA67" s="210"/>
      <c r="AB67" s="210"/>
      <c r="AC67" s="210"/>
      <c r="AD67" s="210"/>
      <c r="AE67" s="210"/>
      <c r="AF67" s="210"/>
      <c r="AG67" s="210"/>
      <c r="AH67" s="210"/>
      <c r="AI67" s="210"/>
      <c r="AJ67" s="210"/>
      <c r="AK67" s="210"/>
      <c r="AL67" s="210"/>
      <c r="AM67" s="210"/>
      <c r="AN67" s="210"/>
      <c r="AO67" s="210"/>
      <c r="AP67" s="210"/>
      <c r="AQ67" s="210"/>
    </row>
    <row r="68" ht="17.25" customHeight="1" outlineLevel="1">
      <c r="A68" s="249" t="s">
        <v>139</v>
      </c>
      <c r="B68" s="307" t="s">
        <v>145</v>
      </c>
      <c r="C68" s="279"/>
      <c r="D68" s="277"/>
      <c r="E68" s="277"/>
      <c r="F68" s="278"/>
      <c r="G68" s="253" t="s">
        <v>62</v>
      </c>
      <c r="H68" s="274" t="s">
        <v>0</v>
      </c>
      <c r="I68" s="255"/>
      <c r="J68" s="256">
        <f>IFERROR(VLOOKUP(H68,Criteria!B:L,7,0),IFERROR(VLOOKUP(H68,Criteria!C:M,7,0),IFERROR(VLOOKUP(H68,Criteria!D:N,7,0),IFERROR(VLOOKUP(H68,Criteria!E:O,7,0),IFERROR(VLOOKUP(H68,Criteria!F:P,7,0),NA())))))</f>
        <v>0</v>
      </c>
      <c r="K68" s="305"/>
      <c r="L68" s="292">
        <v>0.0</v>
      </c>
      <c r="M68" s="300">
        <v>1.0</v>
      </c>
      <c r="N68" s="294">
        <f t="shared" si="31"/>
        <v>3</v>
      </c>
      <c r="O68" s="295">
        <f t="shared" si="28"/>
        <v>4</v>
      </c>
      <c r="P68" s="256"/>
      <c r="Q68" s="265">
        <v>0.0</v>
      </c>
      <c r="R68" s="217"/>
      <c r="S68" s="217"/>
      <c r="T68" s="264"/>
      <c r="U68" s="260"/>
      <c r="V68" s="261"/>
      <c r="W68" s="261"/>
      <c r="X68" s="262"/>
      <c r="Y68" s="181"/>
      <c r="Z68" s="218"/>
      <c r="AA68" s="210"/>
      <c r="AB68" s="210"/>
      <c r="AC68" s="210"/>
      <c r="AD68" s="210"/>
      <c r="AE68" s="210"/>
      <c r="AF68" s="210"/>
      <c r="AG68" s="210"/>
      <c r="AH68" s="210"/>
      <c r="AI68" s="210"/>
      <c r="AJ68" s="210"/>
      <c r="AK68" s="210"/>
      <c r="AL68" s="210"/>
      <c r="AM68" s="210"/>
      <c r="AN68" s="210"/>
      <c r="AO68" s="210"/>
      <c r="AP68" s="210"/>
      <c r="AQ68" s="210"/>
    </row>
    <row r="69" ht="17.25" customHeight="1" outlineLevel="1">
      <c r="A69" s="237"/>
      <c r="B69" s="4"/>
      <c r="C69" s="4"/>
      <c r="D69" s="4"/>
      <c r="E69" s="4"/>
      <c r="F69" s="4"/>
      <c r="G69" s="241"/>
      <c r="H69" s="4"/>
      <c r="I69" s="242"/>
      <c r="J69" s="243"/>
      <c r="K69" s="243"/>
      <c r="L69" s="244"/>
      <c r="M69" s="244"/>
      <c r="N69" s="244"/>
      <c r="O69" s="244"/>
      <c r="P69" s="245"/>
      <c r="Q69" s="245"/>
      <c r="R69" s="246"/>
      <c r="S69" s="246"/>
      <c r="T69" s="247"/>
      <c r="U69" s="260"/>
      <c r="V69" s="261"/>
      <c r="W69" s="261"/>
      <c r="X69" s="181"/>
      <c r="Y69" s="181"/>
      <c r="Z69" s="218"/>
      <c r="AA69" s="210"/>
      <c r="AB69" s="210"/>
      <c r="AC69" s="210"/>
      <c r="AD69" s="210"/>
      <c r="AE69" s="210"/>
      <c r="AF69" s="210"/>
      <c r="AG69" s="210"/>
      <c r="AH69" s="210"/>
      <c r="AI69" s="210"/>
      <c r="AJ69" s="210"/>
      <c r="AK69" s="210"/>
      <c r="AL69" s="210"/>
      <c r="AM69" s="210"/>
      <c r="AN69" s="210"/>
      <c r="AO69" s="210"/>
      <c r="AP69" s="210"/>
      <c r="AQ69" s="210"/>
    </row>
    <row r="70" ht="17.25" customHeight="1">
      <c r="A70" s="308">
        <v>4.0</v>
      </c>
      <c r="B70" s="1" t="s">
        <v>47</v>
      </c>
      <c r="C70" s="225"/>
      <c r="D70" s="226"/>
      <c r="E70" s="226"/>
      <c r="F70" s="227"/>
      <c r="G70" s="309"/>
      <c r="H70" s="310"/>
      <c r="I70" s="310"/>
      <c r="J70" s="311">
        <f>AVERAGEIF(J72:J79,"&gt;= 0")</f>
        <v>1.625</v>
      </c>
      <c r="K70" s="305"/>
      <c r="L70" s="312">
        <f t="shared" ref="L70:O70" si="32">AVERAGEIF(L72:L79,"&gt;= 0")</f>
        <v>0.375</v>
      </c>
      <c r="M70" s="312">
        <f t="shared" si="32"/>
        <v>1.375</v>
      </c>
      <c r="N70" s="312">
        <f t="shared" si="32"/>
        <v>3</v>
      </c>
      <c r="O70" s="312">
        <f t="shared" si="32"/>
        <v>4</v>
      </c>
      <c r="P70" s="232"/>
      <c r="Q70" s="232">
        <f>AVERAGEIF(Q72:Q79,"&gt;= 0")</f>
        <v>2.5</v>
      </c>
      <c r="R70" s="313"/>
      <c r="S70" s="313"/>
      <c r="T70" s="314"/>
      <c r="U70" s="260"/>
      <c r="V70" s="261"/>
      <c r="W70" s="261"/>
      <c r="X70" s="181"/>
      <c r="Y70" s="181"/>
      <c r="Z70" s="218"/>
      <c r="AA70" s="201"/>
      <c r="AB70" s="201"/>
      <c r="AC70" s="201"/>
      <c r="AD70" s="201"/>
      <c r="AE70" s="201"/>
      <c r="AF70" s="201"/>
      <c r="AG70" s="201"/>
      <c r="AH70" s="201"/>
      <c r="AI70" s="201"/>
      <c r="AJ70" s="201"/>
      <c r="AK70" s="201"/>
      <c r="AL70" s="201"/>
      <c r="AM70" s="201"/>
      <c r="AN70" s="201"/>
      <c r="AO70" s="201"/>
      <c r="AP70" s="201"/>
      <c r="AQ70" s="201"/>
    </row>
    <row r="71" ht="17.25" customHeight="1" outlineLevel="1">
      <c r="A71" s="237"/>
      <c r="B71" s="4"/>
      <c r="C71" s="4"/>
      <c r="D71" s="4"/>
      <c r="E71" s="4"/>
      <c r="F71" s="4"/>
      <c r="G71" s="241"/>
      <c r="H71" s="4"/>
      <c r="I71" s="242"/>
      <c r="J71" s="243"/>
      <c r="K71" s="305"/>
      <c r="L71" s="244"/>
      <c r="M71" s="244"/>
      <c r="N71" s="244"/>
      <c r="O71" s="244"/>
      <c r="P71" s="245"/>
      <c r="Q71" s="245"/>
      <c r="R71" s="246"/>
      <c r="S71" s="246"/>
      <c r="T71" s="247"/>
      <c r="U71" s="260"/>
      <c r="V71" s="261"/>
      <c r="W71" s="261"/>
      <c r="X71" s="181"/>
      <c r="Y71" s="181"/>
      <c r="Z71" s="218"/>
      <c r="AA71" s="210"/>
      <c r="AB71" s="210"/>
      <c r="AC71" s="210"/>
      <c r="AD71" s="210"/>
      <c r="AE71" s="210"/>
      <c r="AF71" s="210"/>
      <c r="AG71" s="210"/>
      <c r="AH71" s="210"/>
      <c r="AI71" s="210"/>
      <c r="AJ71" s="210"/>
      <c r="AK71" s="210"/>
      <c r="AL71" s="210"/>
      <c r="AM71" s="210"/>
      <c r="AN71" s="210"/>
      <c r="AO71" s="210"/>
      <c r="AP71" s="210"/>
      <c r="AQ71" s="210"/>
    </row>
    <row r="72" ht="17.25" customHeight="1">
      <c r="A72" s="273" t="s">
        <v>146</v>
      </c>
      <c r="B72" s="250" t="s">
        <v>147</v>
      </c>
      <c r="C72" s="276" t="s">
        <v>148</v>
      </c>
      <c r="D72" s="277"/>
      <c r="E72" s="277"/>
      <c r="F72" s="278"/>
      <c r="G72" s="253" t="s">
        <v>56</v>
      </c>
      <c r="H72" s="274" t="s">
        <v>2</v>
      </c>
      <c r="I72" s="315"/>
      <c r="J72" s="256">
        <f>IFERROR(VLOOKUP(H72,Criteria!B:L,7,0),IFERROR(VLOOKUP(H72,Criteria!C:M,7,0),IFERROR(VLOOKUP(H72,Criteria!D:N,7,0),IFERROR(VLOOKUP(H72,Criteria!E:O,7,0),IFERROR(VLOOKUP(H72,Criteria!F:P,7,0),NA())))))</f>
        <v>2</v>
      </c>
      <c r="K72" s="305"/>
      <c r="L72" s="316">
        <f>1</f>
        <v>1</v>
      </c>
      <c r="M72" s="317">
        <f>2</f>
        <v>2</v>
      </c>
      <c r="N72" s="318">
        <f>3</f>
        <v>3</v>
      </c>
      <c r="O72" s="319">
        <f t="shared" ref="O72:O79" si="33">4</f>
        <v>4</v>
      </c>
      <c r="P72" s="320"/>
      <c r="Q72" s="265">
        <v>3.0</v>
      </c>
      <c r="R72" s="313"/>
      <c r="S72" s="313"/>
      <c r="T72" s="314"/>
      <c r="U72" s="260"/>
      <c r="V72" s="261"/>
      <c r="W72" s="261"/>
      <c r="X72" s="181"/>
      <c r="Y72" s="181"/>
      <c r="Z72" s="218"/>
      <c r="AA72" s="201"/>
      <c r="AB72" s="201"/>
      <c r="AC72" s="201"/>
      <c r="AD72" s="201"/>
      <c r="AE72" s="201"/>
      <c r="AF72" s="201"/>
      <c r="AG72" s="201"/>
      <c r="AH72" s="201"/>
      <c r="AI72" s="201"/>
      <c r="AJ72" s="201"/>
      <c r="AK72" s="201"/>
      <c r="AL72" s="201"/>
      <c r="AM72" s="201"/>
      <c r="AN72" s="201"/>
      <c r="AO72" s="201"/>
      <c r="AP72" s="201"/>
      <c r="AQ72" s="201"/>
    </row>
    <row r="73" ht="17.25" customHeight="1">
      <c r="A73" s="273" t="s">
        <v>149</v>
      </c>
      <c r="B73" s="250" t="s">
        <v>150</v>
      </c>
      <c r="C73" s="276" t="s">
        <v>151</v>
      </c>
      <c r="D73" s="277"/>
      <c r="E73" s="277"/>
      <c r="F73" s="278"/>
      <c r="G73" s="253" t="s">
        <v>61</v>
      </c>
      <c r="H73" s="274" t="s">
        <v>2</v>
      </c>
      <c r="I73" s="315"/>
      <c r="J73" s="256">
        <f>IFERROR(VLOOKUP(H73,Criteria!B:L,7,0),IFERROR(VLOOKUP(H73,Criteria!C:M,7,0),IFERROR(VLOOKUP(H73,Criteria!D:N,7,0),IFERROR(VLOOKUP(H73,Criteria!E:O,7,0),IFERROR(VLOOKUP(H73,Criteria!F:P,7,0),NA())))))</f>
        <v>2</v>
      </c>
      <c r="K73" s="305"/>
      <c r="L73" s="321">
        <v>0.0</v>
      </c>
      <c r="M73" s="322">
        <v>1.0</v>
      </c>
      <c r="N73" s="323">
        <v>3.0</v>
      </c>
      <c r="O73" s="319">
        <f t="shared" si="33"/>
        <v>4</v>
      </c>
      <c r="P73" s="320"/>
      <c r="Q73" s="265">
        <v>2.0</v>
      </c>
      <c r="R73" s="313"/>
      <c r="S73" s="313"/>
      <c r="T73" s="314"/>
      <c r="U73" s="260"/>
      <c r="V73" s="261"/>
      <c r="W73" s="261"/>
      <c r="X73" s="181"/>
      <c r="Y73" s="181"/>
      <c r="Z73" s="218"/>
      <c r="AA73" s="201"/>
      <c r="AB73" s="201"/>
      <c r="AC73" s="201"/>
      <c r="AD73" s="201"/>
      <c r="AE73" s="201"/>
      <c r="AF73" s="201"/>
      <c r="AG73" s="201"/>
      <c r="AH73" s="201"/>
      <c r="AI73" s="201"/>
      <c r="AJ73" s="201"/>
      <c r="AK73" s="201"/>
      <c r="AL73" s="201"/>
      <c r="AM73" s="201"/>
      <c r="AN73" s="201"/>
      <c r="AO73" s="201"/>
      <c r="AP73" s="201"/>
      <c r="AQ73" s="201"/>
    </row>
    <row r="74" ht="17.25" customHeight="1">
      <c r="A74" s="273" t="s">
        <v>152</v>
      </c>
      <c r="B74" s="250" t="s">
        <v>153</v>
      </c>
      <c r="C74" s="276" t="s">
        <v>154</v>
      </c>
      <c r="D74" s="277"/>
      <c r="E74" s="277"/>
      <c r="F74" s="278"/>
      <c r="G74" s="253" t="s">
        <v>57</v>
      </c>
      <c r="H74" s="274" t="s">
        <v>0</v>
      </c>
      <c r="I74" s="315"/>
      <c r="J74" s="256">
        <f>IFERROR(VLOOKUP(H74,Criteria!B:L,7,0),IFERROR(VLOOKUP(H74,Criteria!C:M,7,0),IFERROR(VLOOKUP(H74,Criteria!D:N,7,0),IFERROR(VLOOKUP(H74,Criteria!E:O,7,0),IFERROR(VLOOKUP(H74,Criteria!F:P,7,0),NA())))))</f>
        <v>0</v>
      </c>
      <c r="K74" s="305"/>
      <c r="L74" s="316">
        <f>1</f>
        <v>1</v>
      </c>
      <c r="M74" s="317">
        <f>2</f>
        <v>2</v>
      </c>
      <c r="N74" s="318">
        <f t="shared" ref="N74:N79" si="34">3</f>
        <v>3</v>
      </c>
      <c r="O74" s="319">
        <f t="shared" si="33"/>
        <v>4</v>
      </c>
      <c r="P74" s="320"/>
      <c r="Q74" s="265">
        <v>2.0</v>
      </c>
      <c r="R74" s="313"/>
      <c r="S74" s="313"/>
      <c r="T74" s="314"/>
      <c r="U74" s="260"/>
      <c r="V74" s="261"/>
      <c r="W74" s="261"/>
      <c r="X74" s="181"/>
      <c r="Y74" s="181"/>
      <c r="Z74" s="218"/>
      <c r="AA74" s="201"/>
      <c r="AB74" s="201"/>
      <c r="AC74" s="201"/>
      <c r="AD74" s="201"/>
      <c r="AE74" s="201"/>
      <c r="AF74" s="201"/>
      <c r="AG74" s="201"/>
      <c r="AH74" s="201"/>
      <c r="AI74" s="201"/>
      <c r="AJ74" s="201"/>
      <c r="AK74" s="201"/>
      <c r="AL74" s="201"/>
      <c r="AM74" s="201"/>
      <c r="AN74" s="201"/>
      <c r="AO74" s="201"/>
      <c r="AP74" s="201"/>
      <c r="AQ74" s="201"/>
    </row>
    <row r="75" ht="17.25" customHeight="1">
      <c r="A75" s="273" t="s">
        <v>155</v>
      </c>
      <c r="B75" s="250" t="s">
        <v>156</v>
      </c>
      <c r="C75" s="276" t="s">
        <v>157</v>
      </c>
      <c r="D75" s="277"/>
      <c r="E75" s="277"/>
      <c r="F75" s="278"/>
      <c r="G75" s="253" t="s">
        <v>58</v>
      </c>
      <c r="H75" s="274" t="s">
        <v>1</v>
      </c>
      <c r="I75" s="315"/>
      <c r="J75" s="256">
        <f>IFERROR(VLOOKUP(H75,Criteria!B:L,7,0),IFERROR(VLOOKUP(H75,Criteria!C:M,7,0),IFERROR(VLOOKUP(H75,Criteria!D:N,7,0),IFERROR(VLOOKUP(H75,Criteria!E:O,7,0),IFERROR(VLOOKUP(H75,Criteria!F:P,7,0),NA())))))</f>
        <v>1</v>
      </c>
      <c r="K75" s="305"/>
      <c r="L75" s="321">
        <v>0.0</v>
      </c>
      <c r="M75" s="322">
        <v>1.0</v>
      </c>
      <c r="N75" s="318">
        <f t="shared" si="34"/>
        <v>3</v>
      </c>
      <c r="O75" s="319">
        <f t="shared" si="33"/>
        <v>4</v>
      </c>
      <c r="P75" s="324"/>
      <c r="Q75" s="265">
        <v>2.0</v>
      </c>
      <c r="R75" s="313"/>
      <c r="S75" s="313"/>
      <c r="T75" s="314"/>
      <c r="U75" s="260"/>
      <c r="V75" s="261"/>
      <c r="W75" s="261"/>
      <c r="X75" s="181"/>
      <c r="Y75" s="181"/>
      <c r="Z75" s="218"/>
      <c r="AA75" s="201"/>
      <c r="AB75" s="201"/>
      <c r="AC75" s="201"/>
      <c r="AD75" s="201"/>
      <c r="AE75" s="201"/>
      <c r="AF75" s="201"/>
      <c r="AG75" s="201"/>
      <c r="AH75" s="201"/>
      <c r="AI75" s="201"/>
      <c r="AJ75" s="201"/>
      <c r="AK75" s="201"/>
      <c r="AL75" s="201"/>
      <c r="AM75" s="201"/>
      <c r="AN75" s="201"/>
      <c r="AO75" s="201"/>
      <c r="AP75" s="201"/>
      <c r="AQ75" s="201"/>
    </row>
    <row r="76" ht="17.25" customHeight="1">
      <c r="A76" s="273" t="s">
        <v>158</v>
      </c>
      <c r="B76" s="250" t="s">
        <v>159</v>
      </c>
      <c r="C76" s="276" t="s">
        <v>160</v>
      </c>
      <c r="D76" s="277"/>
      <c r="E76" s="277"/>
      <c r="F76" s="278"/>
      <c r="G76" s="253" t="s">
        <v>57</v>
      </c>
      <c r="H76" s="274" t="s">
        <v>2</v>
      </c>
      <c r="I76" s="315"/>
      <c r="J76" s="256">
        <f>IFERROR(VLOOKUP(H76,Criteria!B:L,7,0),IFERROR(VLOOKUP(H76,Criteria!C:M,7,0),IFERROR(VLOOKUP(H76,Criteria!D:N,7,0),IFERROR(VLOOKUP(H76,Criteria!E:O,7,0),IFERROR(VLOOKUP(H76,Criteria!F:P,7,0),NA())))))</f>
        <v>2</v>
      </c>
      <c r="K76" s="305"/>
      <c r="L76" s="321">
        <v>0.0</v>
      </c>
      <c r="M76" s="322">
        <v>1.0</v>
      </c>
      <c r="N76" s="318">
        <f t="shared" si="34"/>
        <v>3</v>
      </c>
      <c r="O76" s="319">
        <f t="shared" si="33"/>
        <v>4</v>
      </c>
      <c r="P76" s="320"/>
      <c r="Q76" s="265">
        <v>2.0</v>
      </c>
      <c r="R76" s="313"/>
      <c r="S76" s="313"/>
      <c r="T76" s="314"/>
      <c r="U76" s="260"/>
      <c r="V76" s="261"/>
      <c r="W76" s="261"/>
      <c r="X76" s="181"/>
      <c r="Y76" s="181"/>
      <c r="Z76" s="218"/>
      <c r="AA76" s="201"/>
      <c r="AB76" s="201"/>
      <c r="AC76" s="201"/>
      <c r="AD76" s="201"/>
      <c r="AE76" s="201"/>
      <c r="AF76" s="201"/>
      <c r="AG76" s="201"/>
      <c r="AH76" s="201"/>
      <c r="AI76" s="201"/>
      <c r="AJ76" s="201"/>
      <c r="AK76" s="201"/>
      <c r="AL76" s="201"/>
      <c r="AM76" s="201"/>
      <c r="AN76" s="201"/>
      <c r="AO76" s="201"/>
      <c r="AP76" s="201"/>
      <c r="AQ76" s="201"/>
    </row>
    <row r="77" ht="17.25" customHeight="1">
      <c r="A77" s="273" t="s">
        <v>161</v>
      </c>
      <c r="B77" s="250" t="s">
        <v>162</v>
      </c>
      <c r="C77" s="276" t="s">
        <v>163</v>
      </c>
      <c r="D77" s="277"/>
      <c r="E77" s="277"/>
      <c r="F77" s="278"/>
      <c r="G77" s="253" t="s">
        <v>60</v>
      </c>
      <c r="H77" s="274" t="s">
        <v>3</v>
      </c>
      <c r="I77" s="315"/>
      <c r="J77" s="256">
        <f>IFERROR(VLOOKUP(H77,Criteria!B:L,7,0),IFERROR(VLOOKUP(H77,Criteria!C:M,7,0),IFERROR(VLOOKUP(H77,Criteria!D:N,7,0),IFERROR(VLOOKUP(H77,Criteria!E:O,7,0),IFERROR(VLOOKUP(H77,Criteria!F:P,7,0),NA())))))</f>
        <v>3</v>
      </c>
      <c r="K77" s="305"/>
      <c r="L77" s="321">
        <v>0.0</v>
      </c>
      <c r="M77" s="322">
        <v>1.0</v>
      </c>
      <c r="N77" s="318">
        <f t="shared" si="34"/>
        <v>3</v>
      </c>
      <c r="O77" s="319">
        <f t="shared" si="33"/>
        <v>4</v>
      </c>
      <c r="P77" s="320"/>
      <c r="Q77" s="256">
        <v>3.0</v>
      </c>
      <c r="R77" s="313"/>
      <c r="S77" s="313"/>
      <c r="T77" s="314"/>
      <c r="U77" s="260"/>
      <c r="V77" s="261"/>
      <c r="W77" s="261"/>
      <c r="X77" s="181"/>
      <c r="Y77" s="181"/>
      <c r="Z77" s="218"/>
      <c r="AA77" s="201"/>
      <c r="AB77" s="201"/>
      <c r="AC77" s="201"/>
      <c r="AD77" s="201"/>
      <c r="AE77" s="201"/>
      <c r="AF77" s="201"/>
      <c r="AG77" s="201"/>
      <c r="AH77" s="201"/>
      <c r="AI77" s="201"/>
      <c r="AJ77" s="201"/>
      <c r="AK77" s="201"/>
      <c r="AL77" s="201"/>
      <c r="AM77" s="201"/>
      <c r="AN77" s="201"/>
      <c r="AO77" s="201"/>
      <c r="AP77" s="201"/>
      <c r="AQ77" s="201"/>
    </row>
    <row r="78" ht="17.25" customHeight="1">
      <c r="A78" s="273" t="s">
        <v>164</v>
      </c>
      <c r="B78" s="250" t="s">
        <v>165</v>
      </c>
      <c r="C78" s="276" t="s">
        <v>166</v>
      </c>
      <c r="D78" s="277"/>
      <c r="E78" s="277"/>
      <c r="F78" s="278"/>
      <c r="G78" s="253" t="s">
        <v>57</v>
      </c>
      <c r="H78" s="274" t="s">
        <v>0</v>
      </c>
      <c r="I78" s="315"/>
      <c r="J78" s="256">
        <f>IFERROR(VLOOKUP(H78,Criteria!B:L,7,0),IFERROR(VLOOKUP(H78,Criteria!C:M,7,0),IFERROR(VLOOKUP(H78,Criteria!D:N,7,0),IFERROR(VLOOKUP(H78,Criteria!E:O,7,0),IFERROR(VLOOKUP(H78,Criteria!F:P,7,0),NA())))))</f>
        <v>0</v>
      </c>
      <c r="K78" s="305"/>
      <c r="L78" s="321">
        <v>0.0</v>
      </c>
      <c r="M78" s="322">
        <v>1.0</v>
      </c>
      <c r="N78" s="318">
        <f t="shared" si="34"/>
        <v>3</v>
      </c>
      <c r="O78" s="319">
        <f t="shared" si="33"/>
        <v>4</v>
      </c>
      <c r="P78" s="320"/>
      <c r="Q78" s="256">
        <v>3.0</v>
      </c>
      <c r="R78" s="313"/>
      <c r="S78" s="313"/>
      <c r="T78" s="314"/>
      <c r="U78" s="260"/>
      <c r="V78" s="261"/>
      <c r="W78" s="261"/>
      <c r="X78" s="181"/>
      <c r="Y78" s="181"/>
      <c r="Z78" s="218"/>
      <c r="AA78" s="201"/>
      <c r="AB78" s="201"/>
      <c r="AC78" s="201"/>
      <c r="AD78" s="201"/>
      <c r="AE78" s="201"/>
      <c r="AF78" s="201"/>
      <c r="AG78" s="201"/>
      <c r="AH78" s="201"/>
      <c r="AI78" s="201"/>
      <c r="AJ78" s="201"/>
      <c r="AK78" s="201"/>
      <c r="AL78" s="201"/>
      <c r="AM78" s="201"/>
      <c r="AN78" s="201"/>
      <c r="AO78" s="201"/>
      <c r="AP78" s="201"/>
      <c r="AQ78" s="201"/>
    </row>
    <row r="79" ht="17.25" customHeight="1">
      <c r="A79" s="273" t="s">
        <v>167</v>
      </c>
      <c r="B79" s="250" t="s">
        <v>168</v>
      </c>
      <c r="C79" s="276" t="s">
        <v>169</v>
      </c>
      <c r="D79" s="277"/>
      <c r="E79" s="277"/>
      <c r="F79" s="278"/>
      <c r="G79" s="253" t="s">
        <v>60</v>
      </c>
      <c r="H79" s="274" t="s">
        <v>3</v>
      </c>
      <c r="I79" s="315"/>
      <c r="J79" s="256">
        <f>IFERROR(VLOOKUP(H79,Criteria!B:L,7,0),IFERROR(VLOOKUP(H79,Criteria!C:M,7,0),IFERROR(VLOOKUP(H79,Criteria!D:N,7,0),IFERROR(VLOOKUP(H79,Criteria!E:O,7,0),IFERROR(VLOOKUP(H79,Criteria!F:P,7,0),NA())))))</f>
        <v>3</v>
      </c>
      <c r="K79" s="305"/>
      <c r="L79" s="316">
        <f>1</f>
        <v>1</v>
      </c>
      <c r="M79" s="317">
        <f>2</f>
        <v>2</v>
      </c>
      <c r="N79" s="318">
        <f t="shared" si="34"/>
        <v>3</v>
      </c>
      <c r="O79" s="319">
        <f t="shared" si="33"/>
        <v>4</v>
      </c>
      <c r="P79" s="320"/>
      <c r="Q79" s="256">
        <v>3.0</v>
      </c>
      <c r="R79" s="313"/>
      <c r="S79" s="313"/>
      <c r="T79" s="314"/>
      <c r="U79" s="260"/>
      <c r="V79" s="261"/>
      <c r="W79" s="261"/>
      <c r="X79" s="181"/>
      <c r="Y79" s="181"/>
      <c r="Z79" s="218"/>
      <c r="AA79" s="201"/>
      <c r="AB79" s="201"/>
      <c r="AC79" s="201"/>
      <c r="AD79" s="201"/>
      <c r="AE79" s="201"/>
      <c r="AF79" s="201"/>
      <c r="AG79" s="201"/>
      <c r="AH79" s="201"/>
      <c r="AI79" s="201"/>
      <c r="AJ79" s="201"/>
      <c r="AK79" s="201"/>
      <c r="AL79" s="201"/>
      <c r="AM79" s="201"/>
      <c r="AN79" s="201"/>
      <c r="AO79" s="201"/>
      <c r="AP79" s="201"/>
      <c r="AQ79" s="201"/>
    </row>
    <row r="80" ht="17.25" customHeight="1" outlineLevel="1">
      <c r="A80" s="237"/>
      <c r="B80" s="325"/>
      <c r="C80" s="4"/>
      <c r="D80" s="4"/>
      <c r="E80" s="4"/>
      <c r="F80" s="4"/>
      <c r="G80" s="241"/>
      <c r="H80" s="4"/>
      <c r="I80" s="242"/>
      <c r="J80" s="243"/>
      <c r="K80" s="305"/>
      <c r="L80" s="244"/>
      <c r="M80" s="244"/>
      <c r="N80" s="244"/>
      <c r="O80" s="244"/>
      <c r="P80" s="245"/>
      <c r="Q80" s="245"/>
      <c r="R80" s="246"/>
      <c r="S80" s="246"/>
      <c r="T80" s="247"/>
      <c r="U80" s="260"/>
      <c r="V80" s="261"/>
      <c r="W80" s="261"/>
      <c r="X80" s="181"/>
      <c r="Y80" s="181"/>
      <c r="Z80" s="218"/>
      <c r="AA80" s="210"/>
      <c r="AB80" s="210"/>
      <c r="AC80" s="210"/>
      <c r="AD80" s="210"/>
      <c r="AE80" s="210"/>
      <c r="AF80" s="210"/>
      <c r="AG80" s="210"/>
      <c r="AH80" s="210"/>
      <c r="AI80" s="210"/>
      <c r="AJ80" s="210"/>
      <c r="AK80" s="210"/>
      <c r="AL80" s="210"/>
      <c r="AM80" s="210"/>
      <c r="AN80" s="210"/>
      <c r="AO80" s="210"/>
      <c r="AP80" s="210"/>
      <c r="AQ80" s="210"/>
    </row>
    <row r="81" ht="17.25" customHeight="1">
      <c r="A81" s="308">
        <v>5.0</v>
      </c>
      <c r="B81" s="1" t="s">
        <v>48</v>
      </c>
      <c r="C81" s="225"/>
      <c r="D81" s="226"/>
      <c r="E81" s="226"/>
      <c r="F81" s="227"/>
      <c r="G81" s="309"/>
      <c r="H81" s="310"/>
      <c r="I81" s="310"/>
      <c r="J81" s="311">
        <f>AVERAGEIF(J83:J90,"&gt;= 0")</f>
        <v>1.375</v>
      </c>
      <c r="K81" s="305"/>
      <c r="L81" s="312">
        <f t="shared" ref="L81:O81" si="35">AVERAGEIF(L83:L90,"&gt;= 0")</f>
        <v>0.5</v>
      </c>
      <c r="M81" s="312">
        <f t="shared" si="35"/>
        <v>1.5</v>
      </c>
      <c r="N81" s="312">
        <f t="shared" si="35"/>
        <v>3</v>
      </c>
      <c r="O81" s="312">
        <f t="shared" si="35"/>
        <v>4</v>
      </c>
      <c r="P81" s="232"/>
      <c r="Q81" s="232">
        <f>AVERAGEIF(Q83:Q88,"&gt;= 0")</f>
        <v>2.5</v>
      </c>
      <c r="R81" s="313"/>
      <c r="S81" s="313"/>
      <c r="T81" s="314"/>
      <c r="U81" s="260"/>
      <c r="V81" s="261"/>
      <c r="W81" s="261"/>
      <c r="X81" s="181"/>
      <c r="Y81" s="181"/>
      <c r="Z81" s="218"/>
      <c r="AA81" s="201"/>
      <c r="AB81" s="201"/>
      <c r="AC81" s="201"/>
      <c r="AD81" s="201"/>
      <c r="AE81" s="201"/>
      <c r="AF81" s="201"/>
      <c r="AG81" s="201"/>
      <c r="AH81" s="201"/>
      <c r="AI81" s="201"/>
      <c r="AJ81" s="201"/>
      <c r="AK81" s="201"/>
      <c r="AL81" s="201"/>
      <c r="AM81" s="201"/>
      <c r="AN81" s="201"/>
      <c r="AO81" s="201"/>
      <c r="AP81" s="201"/>
      <c r="AQ81" s="201"/>
    </row>
    <row r="82" ht="17.25" customHeight="1" outlineLevel="1">
      <c r="A82" s="237"/>
      <c r="B82" s="4"/>
      <c r="C82" s="4"/>
      <c r="D82" s="4"/>
      <c r="E82" s="4"/>
      <c r="F82" s="4"/>
      <c r="G82" s="241"/>
      <c r="H82" s="4"/>
      <c r="I82" s="242"/>
      <c r="J82" s="243"/>
      <c r="K82" s="305"/>
      <c r="L82" s="244"/>
      <c r="M82" s="244"/>
      <c r="N82" s="244"/>
      <c r="O82" s="244"/>
      <c r="P82" s="245"/>
      <c r="Q82" s="245"/>
      <c r="R82" s="246"/>
      <c r="S82" s="246"/>
      <c r="T82" s="247"/>
      <c r="U82" s="260"/>
      <c r="V82" s="261"/>
      <c r="W82" s="261"/>
      <c r="X82" s="181"/>
      <c r="Y82" s="181"/>
      <c r="Z82" s="218"/>
      <c r="AA82" s="210"/>
      <c r="AB82" s="210"/>
      <c r="AC82" s="210"/>
      <c r="AD82" s="210"/>
      <c r="AE82" s="210"/>
      <c r="AF82" s="210"/>
      <c r="AG82" s="210"/>
      <c r="AH82" s="210"/>
      <c r="AI82" s="210"/>
      <c r="AJ82" s="210"/>
      <c r="AK82" s="210"/>
      <c r="AL82" s="210"/>
      <c r="AM82" s="210"/>
      <c r="AN82" s="210"/>
      <c r="AO82" s="210"/>
      <c r="AP82" s="210"/>
      <c r="AQ82" s="210"/>
    </row>
    <row r="83" ht="17.25" customHeight="1">
      <c r="A83" s="273" t="s">
        <v>170</v>
      </c>
      <c r="B83" s="250" t="s">
        <v>171</v>
      </c>
      <c r="C83" s="276" t="s">
        <v>172</v>
      </c>
      <c r="D83" s="277"/>
      <c r="E83" s="277"/>
      <c r="F83" s="278"/>
      <c r="G83" s="253" t="s">
        <v>59</v>
      </c>
      <c r="H83" s="274" t="s">
        <v>2</v>
      </c>
      <c r="I83" s="315"/>
      <c r="J83" s="256">
        <f>IFERROR(VLOOKUP(H83,Criteria!B:L,7,0),IFERROR(VLOOKUP(H83,Criteria!C:M,7,0),IFERROR(VLOOKUP(H83,Criteria!D:N,7,0),IFERROR(VLOOKUP(H83,Criteria!E:O,7,0),IFERROR(VLOOKUP(H83,Criteria!F:P,7,0),NA())))))</f>
        <v>2</v>
      </c>
      <c r="K83" s="305"/>
      <c r="L83" s="316">
        <f t="shared" ref="L83:L84" si="36">1</f>
        <v>1</v>
      </c>
      <c r="M83" s="317">
        <f t="shared" ref="M83:M84" si="37">2</f>
        <v>2</v>
      </c>
      <c r="N83" s="318">
        <f t="shared" ref="N83:N90" si="38">3</f>
        <v>3</v>
      </c>
      <c r="O83" s="319">
        <f t="shared" ref="O83:O90" si="39">4</f>
        <v>4</v>
      </c>
      <c r="P83" s="256"/>
      <c r="Q83" s="256">
        <v>3.0</v>
      </c>
      <c r="R83" s="313"/>
      <c r="S83" s="313"/>
      <c r="T83" s="314"/>
      <c r="U83" s="260"/>
      <c r="V83" s="261"/>
      <c r="W83" s="261"/>
      <c r="X83" s="181"/>
      <c r="Y83" s="181"/>
      <c r="Z83" s="218"/>
      <c r="AA83" s="201"/>
      <c r="AB83" s="201"/>
      <c r="AC83" s="201"/>
      <c r="AD83" s="201"/>
      <c r="AE83" s="201"/>
      <c r="AF83" s="201"/>
      <c r="AG83" s="201"/>
      <c r="AH83" s="201"/>
      <c r="AI83" s="201"/>
      <c r="AJ83" s="201"/>
      <c r="AK83" s="201"/>
      <c r="AL83" s="201"/>
      <c r="AM83" s="201"/>
      <c r="AN83" s="201"/>
      <c r="AO83" s="201"/>
      <c r="AP83" s="201"/>
      <c r="AQ83" s="201"/>
    </row>
    <row r="84" ht="17.25" customHeight="1">
      <c r="A84" s="273" t="s">
        <v>173</v>
      </c>
      <c r="B84" s="250" t="s">
        <v>174</v>
      </c>
      <c r="C84" s="326" t="s">
        <v>175</v>
      </c>
      <c r="D84" s="277"/>
      <c r="E84" s="277"/>
      <c r="F84" s="278"/>
      <c r="G84" s="253" t="s">
        <v>60</v>
      </c>
      <c r="H84" s="274" t="s">
        <v>0</v>
      </c>
      <c r="I84" s="315"/>
      <c r="J84" s="256">
        <f>IFERROR(VLOOKUP(H84,Criteria!B:L,7,0),IFERROR(VLOOKUP(H84,Criteria!C:M,7,0),IFERROR(VLOOKUP(H84,Criteria!D:N,7,0),IFERROR(VLOOKUP(H84,Criteria!E:O,7,0),IFERROR(VLOOKUP(H84,Criteria!F:P,7,0),NA())))))</f>
        <v>0</v>
      </c>
      <c r="K84" s="305"/>
      <c r="L84" s="316">
        <f t="shared" si="36"/>
        <v>1</v>
      </c>
      <c r="M84" s="317">
        <f t="shared" si="37"/>
        <v>2</v>
      </c>
      <c r="N84" s="318">
        <f t="shared" si="38"/>
        <v>3</v>
      </c>
      <c r="O84" s="319">
        <f t="shared" si="39"/>
        <v>4</v>
      </c>
      <c r="P84" s="265"/>
      <c r="Q84" s="265">
        <v>2.0</v>
      </c>
      <c r="R84" s="313"/>
      <c r="S84" s="313"/>
      <c r="T84" s="314"/>
      <c r="U84" s="260"/>
      <c r="V84" s="261"/>
      <c r="W84" s="261"/>
      <c r="X84" s="181"/>
      <c r="Y84" s="181"/>
      <c r="Z84" s="218"/>
      <c r="AA84" s="201"/>
      <c r="AB84" s="201"/>
      <c r="AC84" s="201"/>
      <c r="AD84" s="201"/>
      <c r="AE84" s="201"/>
      <c r="AF84" s="201"/>
      <c r="AG84" s="201"/>
      <c r="AH84" s="201"/>
      <c r="AI84" s="201"/>
      <c r="AJ84" s="201"/>
      <c r="AK84" s="201"/>
      <c r="AL84" s="201"/>
      <c r="AM84" s="201"/>
      <c r="AN84" s="201"/>
      <c r="AO84" s="201"/>
      <c r="AP84" s="201"/>
      <c r="AQ84" s="201"/>
    </row>
    <row r="85" ht="15.75" customHeight="1">
      <c r="A85" s="273" t="s">
        <v>176</v>
      </c>
      <c r="B85" s="250" t="s">
        <v>177</v>
      </c>
      <c r="C85" s="276" t="s">
        <v>178</v>
      </c>
      <c r="D85" s="277"/>
      <c r="E85" s="277"/>
      <c r="F85" s="278"/>
      <c r="G85" s="253" t="s">
        <v>57</v>
      </c>
      <c r="H85" s="274" t="s">
        <v>0</v>
      </c>
      <c r="I85" s="315"/>
      <c r="J85" s="256">
        <f>IFERROR(VLOOKUP(H85,Criteria!B:L,7,0),IFERROR(VLOOKUP(H85,Criteria!C:M,7,0),IFERROR(VLOOKUP(H85,Criteria!D:N,7,0),IFERROR(VLOOKUP(H85,Criteria!E:O,7,0),IFERROR(VLOOKUP(H85,Criteria!F:P,7,0),NA())))))</f>
        <v>0</v>
      </c>
      <c r="K85" s="305"/>
      <c r="L85" s="321">
        <v>0.0</v>
      </c>
      <c r="M85" s="322">
        <v>1.0</v>
      </c>
      <c r="N85" s="318">
        <f t="shared" si="38"/>
        <v>3</v>
      </c>
      <c r="O85" s="319">
        <f t="shared" si="39"/>
        <v>4</v>
      </c>
      <c r="P85" s="265"/>
      <c r="Q85" s="265">
        <v>2.0</v>
      </c>
      <c r="R85" s="313"/>
      <c r="S85" s="313"/>
      <c r="T85" s="314"/>
      <c r="U85" s="260"/>
      <c r="V85" s="261"/>
      <c r="W85" s="261"/>
      <c r="X85" s="181"/>
      <c r="Y85" s="181"/>
      <c r="Z85" s="218"/>
      <c r="AA85" s="201"/>
      <c r="AB85" s="201"/>
      <c r="AC85" s="201"/>
      <c r="AD85" s="201"/>
      <c r="AE85" s="201"/>
      <c r="AF85" s="201"/>
      <c r="AG85" s="201"/>
      <c r="AH85" s="201"/>
      <c r="AI85" s="201"/>
      <c r="AJ85" s="201"/>
      <c r="AK85" s="201"/>
      <c r="AL85" s="201"/>
      <c r="AM85" s="201"/>
      <c r="AN85" s="201"/>
      <c r="AO85" s="201"/>
      <c r="AP85" s="201"/>
      <c r="AQ85" s="201"/>
    </row>
    <row r="86" ht="15.75" customHeight="1">
      <c r="A86" s="273" t="s">
        <v>179</v>
      </c>
      <c r="B86" s="250" t="s">
        <v>180</v>
      </c>
      <c r="C86" s="276" t="s">
        <v>181</v>
      </c>
      <c r="D86" s="277"/>
      <c r="E86" s="277"/>
      <c r="F86" s="278"/>
      <c r="G86" s="253" t="s">
        <v>61</v>
      </c>
      <c r="H86" s="274" t="s">
        <v>1</v>
      </c>
      <c r="I86" s="315"/>
      <c r="J86" s="256">
        <f>IFERROR(VLOOKUP(H86,Criteria!B:L,7,0),IFERROR(VLOOKUP(H86,Criteria!C:M,7,0),IFERROR(VLOOKUP(H86,Criteria!D:N,7,0),IFERROR(VLOOKUP(H86,Criteria!E:O,7,0),IFERROR(VLOOKUP(H86,Criteria!F:P,7,0),NA())))))</f>
        <v>1</v>
      </c>
      <c r="K86" s="305"/>
      <c r="L86" s="316">
        <f>1</f>
        <v>1</v>
      </c>
      <c r="M86" s="317">
        <f>2</f>
        <v>2</v>
      </c>
      <c r="N86" s="318">
        <f t="shared" si="38"/>
        <v>3</v>
      </c>
      <c r="O86" s="319">
        <f t="shared" si="39"/>
        <v>4</v>
      </c>
      <c r="P86" s="256"/>
      <c r="Q86" s="256">
        <v>3.0</v>
      </c>
      <c r="R86" s="313"/>
      <c r="S86" s="313"/>
      <c r="T86" s="314"/>
      <c r="U86" s="260"/>
      <c r="V86" s="261"/>
      <c r="W86" s="261"/>
      <c r="X86" s="181"/>
      <c r="Y86" s="181"/>
      <c r="Z86" s="218"/>
      <c r="AA86" s="201"/>
      <c r="AB86" s="201"/>
      <c r="AC86" s="201"/>
      <c r="AD86" s="201"/>
      <c r="AE86" s="201"/>
      <c r="AF86" s="201"/>
      <c r="AG86" s="201"/>
      <c r="AH86" s="201"/>
      <c r="AI86" s="201"/>
      <c r="AJ86" s="201"/>
      <c r="AK86" s="201"/>
      <c r="AL86" s="201"/>
      <c r="AM86" s="201"/>
      <c r="AN86" s="201"/>
      <c r="AO86" s="201"/>
      <c r="AP86" s="201"/>
      <c r="AQ86" s="201"/>
    </row>
    <row r="87" ht="15.75" customHeight="1">
      <c r="A87" s="273" t="s">
        <v>182</v>
      </c>
      <c r="B87" s="250" t="s">
        <v>183</v>
      </c>
      <c r="C87" s="276" t="s">
        <v>184</v>
      </c>
      <c r="D87" s="277"/>
      <c r="E87" s="277"/>
      <c r="F87" s="278"/>
      <c r="G87" s="253" t="s">
        <v>58</v>
      </c>
      <c r="H87" s="274" t="s">
        <v>2</v>
      </c>
      <c r="I87" s="315"/>
      <c r="J87" s="256">
        <f>IFERROR(VLOOKUP(H87,Criteria!B:L,7,0),IFERROR(VLOOKUP(H87,Criteria!C:M,7,0),IFERROR(VLOOKUP(H87,Criteria!D:N,7,0),IFERROR(VLOOKUP(H87,Criteria!E:O,7,0),IFERROR(VLOOKUP(H87,Criteria!F:P,7,0),NA())))))</f>
        <v>2</v>
      </c>
      <c r="K87" s="305"/>
      <c r="L87" s="321">
        <v>0.0</v>
      </c>
      <c r="M87" s="322">
        <v>1.0</v>
      </c>
      <c r="N87" s="318">
        <f t="shared" si="38"/>
        <v>3</v>
      </c>
      <c r="O87" s="319">
        <f t="shared" si="39"/>
        <v>4</v>
      </c>
      <c r="P87" s="265"/>
      <c r="Q87" s="265">
        <v>2.0</v>
      </c>
      <c r="R87" s="313"/>
      <c r="S87" s="313"/>
      <c r="T87" s="314"/>
      <c r="U87" s="260"/>
      <c r="V87" s="261"/>
      <c r="W87" s="261"/>
      <c r="X87" s="181"/>
      <c r="Y87" s="181"/>
      <c r="Z87" s="218"/>
      <c r="AA87" s="201"/>
      <c r="AB87" s="201"/>
      <c r="AC87" s="201"/>
      <c r="AD87" s="201"/>
      <c r="AE87" s="201"/>
      <c r="AF87" s="201"/>
      <c r="AG87" s="201"/>
      <c r="AH87" s="201"/>
      <c r="AI87" s="201"/>
      <c r="AJ87" s="201"/>
      <c r="AK87" s="201"/>
      <c r="AL87" s="201"/>
      <c r="AM87" s="201"/>
      <c r="AN87" s="201"/>
      <c r="AO87" s="201"/>
      <c r="AP87" s="201"/>
      <c r="AQ87" s="201"/>
    </row>
    <row r="88" ht="15.75" customHeight="1">
      <c r="A88" s="273" t="s">
        <v>185</v>
      </c>
      <c r="B88" s="250" t="s">
        <v>186</v>
      </c>
      <c r="C88" s="276" t="s">
        <v>187</v>
      </c>
      <c r="D88" s="277"/>
      <c r="E88" s="277"/>
      <c r="F88" s="278"/>
      <c r="G88" s="253" t="s">
        <v>59</v>
      </c>
      <c r="H88" s="274" t="s">
        <v>3</v>
      </c>
      <c r="I88" s="315"/>
      <c r="J88" s="256">
        <f>IFERROR(VLOOKUP(H88,Criteria!B:L,7,0),IFERROR(VLOOKUP(H88,Criteria!C:M,7,0),IFERROR(VLOOKUP(H88,Criteria!D:N,7,0),IFERROR(VLOOKUP(H88,Criteria!E:O,7,0),IFERROR(VLOOKUP(H88,Criteria!F:P,7,0),NA())))))</f>
        <v>3</v>
      </c>
      <c r="K88" s="305"/>
      <c r="L88" s="316">
        <f>1</f>
        <v>1</v>
      </c>
      <c r="M88" s="317">
        <f>2</f>
        <v>2</v>
      </c>
      <c r="N88" s="318">
        <f t="shared" si="38"/>
        <v>3</v>
      </c>
      <c r="O88" s="319">
        <f t="shared" si="39"/>
        <v>4</v>
      </c>
      <c r="P88" s="265"/>
      <c r="Q88" s="265">
        <v>3.0</v>
      </c>
      <c r="R88" s="313"/>
      <c r="S88" s="313"/>
      <c r="T88" s="314"/>
      <c r="U88" s="260"/>
      <c r="V88" s="261"/>
      <c r="W88" s="261"/>
      <c r="X88" s="181"/>
      <c r="Y88" s="181"/>
      <c r="Z88" s="218"/>
      <c r="AA88" s="201"/>
      <c r="AB88" s="201"/>
      <c r="AC88" s="201"/>
      <c r="AD88" s="201"/>
      <c r="AE88" s="201"/>
      <c r="AF88" s="201"/>
      <c r="AG88" s="201"/>
      <c r="AH88" s="201"/>
      <c r="AI88" s="201"/>
      <c r="AJ88" s="201"/>
      <c r="AK88" s="201"/>
      <c r="AL88" s="201"/>
      <c r="AM88" s="201"/>
      <c r="AN88" s="201"/>
      <c r="AO88" s="201"/>
      <c r="AP88" s="201"/>
      <c r="AQ88" s="201"/>
    </row>
    <row r="89" ht="15.75" customHeight="1">
      <c r="A89" s="273" t="s">
        <v>188</v>
      </c>
      <c r="B89" s="250" t="s">
        <v>189</v>
      </c>
      <c r="C89" s="276" t="s">
        <v>190</v>
      </c>
      <c r="D89" s="277"/>
      <c r="E89" s="277"/>
      <c r="F89" s="278"/>
      <c r="G89" s="253" t="s">
        <v>61</v>
      </c>
      <c r="H89" s="274" t="s">
        <v>0</v>
      </c>
      <c r="I89" s="315"/>
      <c r="J89" s="256">
        <f>IFERROR(VLOOKUP(H89,Criteria!B:L,7,0),IFERROR(VLOOKUP(H89,Criteria!C:M,7,0),IFERROR(VLOOKUP(H89,Criteria!D:N,7,0),IFERROR(VLOOKUP(H89,Criteria!E:O,7,0),IFERROR(VLOOKUP(H89,Criteria!F:P,7,0),NA())))))</f>
        <v>0</v>
      </c>
      <c r="K89" s="305"/>
      <c r="L89" s="321">
        <v>0.0</v>
      </c>
      <c r="M89" s="322">
        <v>1.0</v>
      </c>
      <c r="N89" s="318">
        <f t="shared" si="38"/>
        <v>3</v>
      </c>
      <c r="O89" s="319">
        <f t="shared" si="39"/>
        <v>4</v>
      </c>
      <c r="P89" s="265"/>
      <c r="Q89" s="265">
        <v>1.0</v>
      </c>
      <c r="R89" s="313"/>
      <c r="S89" s="313"/>
      <c r="T89" s="314"/>
      <c r="U89" s="260"/>
      <c r="V89" s="261"/>
      <c r="W89" s="261"/>
      <c r="X89" s="181"/>
      <c r="Y89" s="181"/>
      <c r="Z89" s="218"/>
      <c r="AA89" s="201"/>
      <c r="AB89" s="201"/>
      <c r="AC89" s="201"/>
      <c r="AD89" s="201"/>
      <c r="AE89" s="201"/>
      <c r="AF89" s="201"/>
      <c r="AG89" s="201"/>
      <c r="AH89" s="201"/>
      <c r="AI89" s="201"/>
      <c r="AJ89" s="201"/>
      <c r="AK89" s="201"/>
      <c r="AL89" s="201"/>
      <c r="AM89" s="201"/>
      <c r="AN89" s="201"/>
      <c r="AO89" s="201"/>
      <c r="AP89" s="201"/>
      <c r="AQ89" s="201"/>
    </row>
    <row r="90" ht="15.75" customHeight="1">
      <c r="A90" s="273" t="s">
        <v>191</v>
      </c>
      <c r="B90" s="250" t="s">
        <v>192</v>
      </c>
      <c r="C90" s="276" t="s">
        <v>193</v>
      </c>
      <c r="D90" s="277"/>
      <c r="E90" s="277"/>
      <c r="F90" s="278"/>
      <c r="G90" s="253" t="s">
        <v>61</v>
      </c>
      <c r="H90" s="274" t="s">
        <v>3</v>
      </c>
      <c r="I90" s="315"/>
      <c r="J90" s="256">
        <f>IFERROR(VLOOKUP(H90,Criteria!B:L,7,0),IFERROR(VLOOKUP(H90,Criteria!C:M,7,0),IFERROR(VLOOKUP(H90,Criteria!D:N,7,0),IFERROR(VLOOKUP(H90,Criteria!E:O,7,0),IFERROR(VLOOKUP(H90,Criteria!F:P,7,0),NA())))))</f>
        <v>3</v>
      </c>
      <c r="K90" s="305"/>
      <c r="L90" s="321">
        <v>0.0</v>
      </c>
      <c r="M90" s="322">
        <v>1.0</v>
      </c>
      <c r="N90" s="318">
        <f t="shared" si="38"/>
        <v>3</v>
      </c>
      <c r="O90" s="319">
        <f t="shared" si="39"/>
        <v>4</v>
      </c>
      <c r="P90" s="265"/>
      <c r="Q90" s="265">
        <v>2.0</v>
      </c>
      <c r="R90" s="313"/>
      <c r="S90" s="313"/>
      <c r="T90" s="314"/>
      <c r="U90" s="260"/>
      <c r="V90" s="261"/>
      <c r="W90" s="261"/>
      <c r="X90" s="181"/>
      <c r="Y90" s="181"/>
      <c r="Z90" s="218"/>
      <c r="AA90" s="201"/>
      <c r="AB90" s="201"/>
      <c r="AC90" s="201"/>
      <c r="AD90" s="201"/>
      <c r="AE90" s="201"/>
      <c r="AF90" s="201"/>
      <c r="AG90" s="201"/>
      <c r="AH90" s="201"/>
      <c r="AI90" s="201"/>
      <c r="AJ90" s="201"/>
      <c r="AK90" s="201"/>
      <c r="AL90" s="201"/>
      <c r="AM90" s="201"/>
      <c r="AN90" s="201"/>
      <c r="AO90" s="201"/>
      <c r="AP90" s="201"/>
      <c r="AQ90" s="201"/>
    </row>
    <row r="91" ht="17.25" customHeight="1" outlineLevel="1">
      <c r="A91" s="237"/>
      <c r="B91" s="4"/>
      <c r="C91" s="4"/>
      <c r="D91" s="4"/>
      <c r="E91" s="4"/>
      <c r="F91" s="4"/>
      <c r="G91" s="241"/>
      <c r="H91" s="4"/>
      <c r="I91" s="242"/>
      <c r="J91" s="243"/>
      <c r="K91" s="305"/>
      <c r="L91" s="244"/>
      <c r="M91" s="244"/>
      <c r="N91" s="244"/>
      <c r="O91" s="244"/>
      <c r="P91" s="245"/>
      <c r="Q91" s="245"/>
      <c r="R91" s="246"/>
      <c r="S91" s="246"/>
      <c r="T91" s="247"/>
      <c r="U91" s="260"/>
      <c r="V91" s="261"/>
      <c r="W91" s="261"/>
      <c r="X91" s="181"/>
      <c r="Y91" s="181"/>
      <c r="Z91" s="218"/>
      <c r="AA91" s="210"/>
      <c r="AB91" s="210"/>
      <c r="AC91" s="210"/>
      <c r="AD91" s="210"/>
      <c r="AE91" s="210"/>
      <c r="AF91" s="210"/>
      <c r="AG91" s="210"/>
      <c r="AH91" s="210"/>
      <c r="AI91" s="210"/>
      <c r="AJ91" s="210"/>
      <c r="AK91" s="210"/>
      <c r="AL91" s="210"/>
      <c r="AM91" s="210"/>
      <c r="AN91" s="210"/>
      <c r="AO91" s="210"/>
      <c r="AP91" s="210"/>
      <c r="AQ91" s="210"/>
    </row>
    <row r="92" ht="17.25" customHeight="1" outlineLevel="1">
      <c r="A92" s="327">
        <v>6.0</v>
      </c>
      <c r="B92" s="328" t="s">
        <v>49</v>
      </c>
      <c r="C92" s="225"/>
      <c r="D92" s="226"/>
      <c r="E92" s="226"/>
      <c r="F92" s="227"/>
      <c r="G92" s="271"/>
      <c r="H92" s="287"/>
      <c r="I92" s="231"/>
      <c r="J92" s="232">
        <f>AVERAGEIF(J94:J103,"&gt;= 0")</f>
        <v>1.2</v>
      </c>
      <c r="K92" s="305"/>
      <c r="L92" s="234">
        <f t="shared" ref="L92:O92" si="40">AVERAGEIF(L94:L103,"&gt;= 0")</f>
        <v>0.5</v>
      </c>
      <c r="M92" s="234">
        <f t="shared" si="40"/>
        <v>1.5</v>
      </c>
      <c r="N92" s="234">
        <f t="shared" si="40"/>
        <v>2.8</v>
      </c>
      <c r="O92" s="234">
        <f t="shared" si="40"/>
        <v>3.8</v>
      </c>
      <c r="P92" s="232"/>
      <c r="Q92" s="232">
        <f>AVERAGEIF(Q94:Q101,"&gt;= 0")</f>
        <v>1.75</v>
      </c>
      <c r="R92" s="329"/>
      <c r="S92" s="246"/>
      <c r="T92" s="247"/>
      <c r="U92" s="260"/>
      <c r="V92" s="261"/>
      <c r="W92" s="261"/>
      <c r="X92" s="181"/>
      <c r="Y92" s="181"/>
      <c r="Z92" s="218"/>
      <c r="AA92" s="210"/>
      <c r="AB92" s="210"/>
      <c r="AC92" s="210"/>
      <c r="AD92" s="210"/>
      <c r="AE92" s="210"/>
      <c r="AF92" s="210"/>
      <c r="AG92" s="210"/>
      <c r="AH92" s="210"/>
      <c r="AI92" s="210"/>
      <c r="AJ92" s="210"/>
      <c r="AK92" s="210"/>
      <c r="AL92" s="210"/>
      <c r="AM92" s="210"/>
      <c r="AN92" s="210"/>
      <c r="AO92" s="210"/>
      <c r="AP92" s="210"/>
      <c r="AQ92" s="210"/>
    </row>
    <row r="93" ht="17.25" customHeight="1" outlineLevel="1">
      <c r="A93" s="237"/>
      <c r="B93" s="4"/>
      <c r="C93" s="4"/>
      <c r="D93" s="4"/>
      <c r="E93" s="4"/>
      <c r="F93" s="4"/>
      <c r="G93" s="241"/>
      <c r="H93" s="139"/>
      <c r="I93" s="242"/>
      <c r="J93" s="243"/>
      <c r="K93" s="305"/>
      <c r="L93" s="244"/>
      <c r="M93" s="244"/>
      <c r="N93" s="244"/>
      <c r="O93" s="244"/>
      <c r="P93" s="245"/>
      <c r="Q93" s="245"/>
      <c r="R93" s="246"/>
      <c r="S93" s="246"/>
      <c r="T93" s="291"/>
      <c r="U93" s="260"/>
      <c r="V93" s="261"/>
      <c r="W93" s="261"/>
      <c r="X93" s="181"/>
      <c r="Y93" s="181"/>
      <c r="Z93" s="218"/>
      <c r="AA93" s="210"/>
      <c r="AB93" s="210"/>
      <c r="AC93" s="210"/>
      <c r="AD93" s="210"/>
      <c r="AE93" s="210"/>
      <c r="AF93" s="210"/>
      <c r="AG93" s="210"/>
      <c r="AH93" s="210"/>
      <c r="AI93" s="210"/>
      <c r="AJ93" s="210"/>
      <c r="AK93" s="210"/>
      <c r="AL93" s="210"/>
      <c r="AM93" s="210"/>
      <c r="AN93" s="210"/>
      <c r="AO93" s="210"/>
      <c r="AP93" s="210"/>
      <c r="AQ93" s="210"/>
    </row>
    <row r="94" ht="15.75" customHeight="1">
      <c r="A94" s="273" t="s">
        <v>194</v>
      </c>
      <c r="B94" s="250" t="s">
        <v>195</v>
      </c>
      <c r="C94" s="297" t="s">
        <v>196</v>
      </c>
      <c r="D94" s="330"/>
      <c r="E94" s="330"/>
      <c r="F94" s="330"/>
      <c r="G94" s="253" t="s">
        <v>61</v>
      </c>
      <c r="H94" s="274" t="s">
        <v>2</v>
      </c>
      <c r="I94" s="255"/>
      <c r="J94" s="256">
        <f>IFERROR(VLOOKUP(H94,Criteria!B:L,7,0),IFERROR(VLOOKUP(H94,Criteria!C:M,7,0),IFERROR(VLOOKUP(H94,Criteria!D:N,7,0),IFERROR(VLOOKUP(H94,Criteria!E:O,7,0),IFERROR(VLOOKUP(H94,Criteria!F:P,7,0),NA())))))</f>
        <v>2</v>
      </c>
      <c r="K94" s="305"/>
      <c r="L94" s="306">
        <f>1</f>
        <v>1</v>
      </c>
      <c r="M94" s="293">
        <f>2</f>
        <v>2</v>
      </c>
      <c r="N94" s="294">
        <f>3</f>
        <v>3</v>
      </c>
      <c r="O94" s="295">
        <f>4</f>
        <v>4</v>
      </c>
      <c r="P94" s="256"/>
      <c r="Q94" s="256">
        <v>3.0</v>
      </c>
      <c r="R94" s="313"/>
      <c r="S94" s="313"/>
      <c r="T94" s="314"/>
      <c r="U94" s="260"/>
      <c r="V94" s="261"/>
      <c r="W94" s="261"/>
      <c r="X94" s="181"/>
      <c r="Y94" s="181"/>
      <c r="Z94" s="218"/>
      <c r="AA94" s="201"/>
      <c r="AB94" s="201"/>
      <c r="AC94" s="201"/>
      <c r="AD94" s="201"/>
      <c r="AE94" s="201"/>
      <c r="AF94" s="201"/>
      <c r="AG94" s="201"/>
      <c r="AH94" s="201"/>
      <c r="AI94" s="201"/>
      <c r="AJ94" s="201"/>
      <c r="AK94" s="201"/>
      <c r="AL94" s="201"/>
      <c r="AM94" s="201"/>
      <c r="AN94" s="201"/>
      <c r="AO94" s="201"/>
      <c r="AP94" s="201"/>
      <c r="AQ94" s="201"/>
    </row>
    <row r="95" ht="15.75" customHeight="1">
      <c r="A95" s="273" t="s">
        <v>197</v>
      </c>
      <c r="B95" s="250" t="s">
        <v>198</v>
      </c>
      <c r="C95" s="276" t="s">
        <v>199</v>
      </c>
      <c r="D95" s="277"/>
      <c r="E95" s="277"/>
      <c r="F95" s="278"/>
      <c r="G95" s="253" t="s">
        <v>61</v>
      </c>
      <c r="H95" s="274" t="s">
        <v>1</v>
      </c>
      <c r="I95" s="255"/>
      <c r="J95" s="256">
        <f>IFERROR(VLOOKUP(H95,Criteria!B:L,7,0),IFERROR(VLOOKUP(H95,Criteria!C:M,7,0),IFERROR(VLOOKUP(H95,Criteria!D:N,7,0),IFERROR(VLOOKUP(H95,Criteria!E:O,7,0),IFERROR(VLOOKUP(H95,Criteria!F:P,7,0),NA())))))</f>
        <v>1</v>
      </c>
      <c r="K95" s="305"/>
      <c r="L95" s="292">
        <v>0.0</v>
      </c>
      <c r="M95" s="300">
        <v>1.0</v>
      </c>
      <c r="N95" s="302">
        <v>2.0</v>
      </c>
      <c r="O95" s="331">
        <v>3.0</v>
      </c>
      <c r="P95" s="265"/>
      <c r="Q95" s="265">
        <v>1.0</v>
      </c>
      <c r="R95" s="313"/>
      <c r="S95" s="313"/>
      <c r="T95" s="314"/>
      <c r="U95" s="260"/>
      <c r="V95" s="261"/>
      <c r="W95" s="261"/>
      <c r="X95" s="181"/>
      <c r="Y95" s="181"/>
      <c r="Z95" s="218"/>
      <c r="AA95" s="201"/>
      <c r="AB95" s="201"/>
      <c r="AC95" s="201"/>
      <c r="AD95" s="201"/>
      <c r="AE95" s="201"/>
      <c r="AF95" s="201"/>
      <c r="AG95" s="201"/>
      <c r="AH95" s="201"/>
      <c r="AI95" s="201"/>
      <c r="AJ95" s="201"/>
      <c r="AK95" s="201"/>
      <c r="AL95" s="201"/>
      <c r="AM95" s="201"/>
      <c r="AN95" s="201"/>
      <c r="AO95" s="201"/>
      <c r="AP95" s="201"/>
      <c r="AQ95" s="201"/>
    </row>
    <row r="96" ht="15.75" customHeight="1">
      <c r="A96" s="273" t="s">
        <v>200</v>
      </c>
      <c r="B96" s="250" t="s">
        <v>201</v>
      </c>
      <c r="C96" s="279" t="s">
        <v>202</v>
      </c>
      <c r="D96" s="277"/>
      <c r="E96" s="277"/>
      <c r="F96" s="278"/>
      <c r="G96" s="253" t="s">
        <v>61</v>
      </c>
      <c r="H96" s="274" t="s">
        <v>0</v>
      </c>
      <c r="I96" s="255"/>
      <c r="J96" s="256">
        <f>IFERROR(VLOOKUP(H96,Criteria!B:L,7,0),IFERROR(VLOOKUP(H96,Criteria!C:M,7,0),IFERROR(VLOOKUP(H96,Criteria!D:N,7,0),IFERROR(VLOOKUP(H96,Criteria!E:O,7,0),IFERROR(VLOOKUP(H96,Criteria!F:P,7,0),NA())))))</f>
        <v>0</v>
      </c>
      <c r="K96" s="305"/>
      <c r="L96" s="292">
        <v>0.0</v>
      </c>
      <c r="M96" s="300">
        <v>1.0</v>
      </c>
      <c r="N96" s="302">
        <v>2.0</v>
      </c>
      <c r="O96" s="331">
        <v>3.0</v>
      </c>
      <c r="P96" s="265"/>
      <c r="Q96" s="265">
        <v>0.0</v>
      </c>
      <c r="R96" s="313"/>
      <c r="S96" s="313"/>
      <c r="T96" s="314"/>
      <c r="U96" s="260"/>
      <c r="V96" s="261"/>
      <c r="W96" s="261"/>
      <c r="X96" s="181"/>
      <c r="Y96" s="181"/>
      <c r="Z96" s="218"/>
      <c r="AA96" s="201"/>
      <c r="AB96" s="201"/>
      <c r="AC96" s="201"/>
      <c r="AD96" s="201"/>
      <c r="AE96" s="201"/>
      <c r="AF96" s="201"/>
      <c r="AG96" s="201"/>
      <c r="AH96" s="201"/>
      <c r="AI96" s="201"/>
      <c r="AJ96" s="201"/>
      <c r="AK96" s="201"/>
      <c r="AL96" s="201"/>
      <c r="AM96" s="201"/>
      <c r="AN96" s="201"/>
      <c r="AO96" s="201"/>
      <c r="AP96" s="201"/>
      <c r="AQ96" s="201"/>
    </row>
    <row r="97" ht="15.75" customHeight="1">
      <c r="A97" s="273" t="s">
        <v>203</v>
      </c>
      <c r="B97" s="250" t="s">
        <v>204</v>
      </c>
      <c r="C97" s="326" t="s">
        <v>205</v>
      </c>
      <c r="D97" s="277"/>
      <c r="E97" s="277"/>
      <c r="F97" s="278"/>
      <c r="G97" s="253" t="s">
        <v>61</v>
      </c>
      <c r="H97" s="274" t="s">
        <v>1</v>
      </c>
      <c r="I97" s="255"/>
      <c r="J97" s="256">
        <f>IFERROR(VLOOKUP(H97,Criteria!B:L,7,0),IFERROR(VLOOKUP(H97,Criteria!C:M,7,0),IFERROR(VLOOKUP(H97,Criteria!D:N,7,0),IFERROR(VLOOKUP(H97,Criteria!E:O,7,0),IFERROR(VLOOKUP(H97,Criteria!F:P,7,0),NA())))))</f>
        <v>1</v>
      </c>
      <c r="K97" s="305"/>
      <c r="L97" s="292">
        <v>0.0</v>
      </c>
      <c r="M97" s="300">
        <v>1.0</v>
      </c>
      <c r="N97" s="302">
        <v>3.0</v>
      </c>
      <c r="O97" s="295">
        <f t="shared" ref="O97:O103" si="41">4</f>
        <v>4</v>
      </c>
      <c r="P97" s="256"/>
      <c r="Q97" s="265">
        <v>2.0</v>
      </c>
      <c r="R97" s="313"/>
      <c r="S97" s="313"/>
      <c r="T97" s="314"/>
      <c r="U97" s="260"/>
      <c r="V97" s="261"/>
      <c r="W97" s="261"/>
      <c r="X97" s="181"/>
      <c r="Y97" s="181"/>
      <c r="Z97" s="218"/>
      <c r="AA97" s="201"/>
      <c r="AB97" s="201"/>
      <c r="AC97" s="201"/>
      <c r="AD97" s="201"/>
      <c r="AE97" s="201"/>
      <c r="AF97" s="201"/>
      <c r="AG97" s="201"/>
      <c r="AH97" s="201"/>
      <c r="AI97" s="201"/>
      <c r="AJ97" s="201"/>
      <c r="AK97" s="201"/>
      <c r="AL97" s="201"/>
      <c r="AM97" s="201"/>
      <c r="AN97" s="201"/>
      <c r="AO97" s="201"/>
      <c r="AP97" s="201"/>
      <c r="AQ97" s="201"/>
    </row>
    <row r="98" ht="15.75" customHeight="1">
      <c r="A98" s="273" t="s">
        <v>206</v>
      </c>
      <c r="B98" s="250" t="s">
        <v>207</v>
      </c>
      <c r="C98" s="332" t="s">
        <v>208</v>
      </c>
      <c r="D98" s="333"/>
      <c r="E98" s="333"/>
      <c r="F98" s="334"/>
      <c r="G98" s="253" t="s">
        <v>61</v>
      </c>
      <c r="H98" s="274" t="s">
        <v>2</v>
      </c>
      <c r="I98" s="255"/>
      <c r="J98" s="256">
        <f>IFERROR(VLOOKUP(H98,Criteria!B:L,7,0),IFERROR(VLOOKUP(H98,Criteria!C:M,7,0),IFERROR(VLOOKUP(H98,Criteria!D:N,7,0),IFERROR(VLOOKUP(H98,Criteria!E:O,7,0),IFERROR(VLOOKUP(H98,Criteria!F:P,7,0),NA())))))</f>
        <v>2</v>
      </c>
      <c r="K98" s="305"/>
      <c r="L98" s="292">
        <v>0.0</v>
      </c>
      <c r="M98" s="300">
        <v>1.0</v>
      </c>
      <c r="N98" s="294">
        <f t="shared" ref="N98:N103" si="42">3</f>
        <v>3</v>
      </c>
      <c r="O98" s="295">
        <f t="shared" si="41"/>
        <v>4</v>
      </c>
      <c r="P98" s="265"/>
      <c r="Q98" s="265">
        <v>2.0</v>
      </c>
      <c r="R98" s="313"/>
      <c r="S98" s="313"/>
      <c r="T98" s="314"/>
      <c r="U98" s="260"/>
      <c r="V98" s="261"/>
      <c r="W98" s="261"/>
      <c r="X98" s="181"/>
      <c r="Y98" s="181"/>
      <c r="Z98" s="218"/>
      <c r="AA98" s="201"/>
      <c r="AB98" s="201"/>
      <c r="AC98" s="201"/>
      <c r="AD98" s="201"/>
      <c r="AE98" s="201"/>
      <c r="AF98" s="201"/>
      <c r="AG98" s="201"/>
      <c r="AH98" s="201"/>
      <c r="AI98" s="201"/>
      <c r="AJ98" s="201"/>
      <c r="AK98" s="201"/>
      <c r="AL98" s="201"/>
      <c r="AM98" s="201"/>
      <c r="AN98" s="201"/>
      <c r="AO98" s="201"/>
      <c r="AP98" s="201"/>
      <c r="AQ98" s="201"/>
    </row>
    <row r="99" ht="15.75" customHeight="1">
      <c r="A99" s="273" t="s">
        <v>209</v>
      </c>
      <c r="B99" s="250" t="s">
        <v>210</v>
      </c>
      <c r="C99" s="303" t="s">
        <v>211</v>
      </c>
      <c r="D99" s="335"/>
      <c r="E99" s="335"/>
      <c r="F99" s="336"/>
      <c r="G99" s="253" t="s">
        <v>62</v>
      </c>
      <c r="H99" s="274" t="s">
        <v>0</v>
      </c>
      <c r="I99" s="255"/>
      <c r="J99" s="256">
        <f>IFERROR(VLOOKUP(H99,Criteria!B:L,7,0),IFERROR(VLOOKUP(H99,Criteria!C:M,7,0),IFERROR(VLOOKUP(H99,Criteria!D:N,7,0),IFERROR(VLOOKUP(H99,Criteria!E:O,7,0),IFERROR(VLOOKUP(H99,Criteria!F:P,7,0),NA())))))</f>
        <v>0</v>
      </c>
      <c r="K99" s="305"/>
      <c r="L99" s="306">
        <f t="shared" ref="L99:L101" si="43">1</f>
        <v>1</v>
      </c>
      <c r="M99" s="293">
        <f t="shared" ref="M99:M101" si="44">2</f>
        <v>2</v>
      </c>
      <c r="N99" s="294">
        <f t="shared" si="42"/>
        <v>3</v>
      </c>
      <c r="O99" s="295">
        <f t="shared" si="41"/>
        <v>4</v>
      </c>
      <c r="P99" s="265"/>
      <c r="Q99" s="265">
        <v>2.0</v>
      </c>
      <c r="R99" s="313"/>
      <c r="S99" s="313"/>
      <c r="T99" s="314"/>
      <c r="U99" s="260"/>
      <c r="V99" s="261"/>
      <c r="W99" s="261"/>
      <c r="X99" s="181"/>
      <c r="Y99" s="181"/>
      <c r="Z99" s="218"/>
      <c r="AA99" s="201"/>
      <c r="AB99" s="201"/>
      <c r="AC99" s="201"/>
      <c r="AD99" s="201"/>
      <c r="AE99" s="201"/>
      <c r="AF99" s="201"/>
      <c r="AG99" s="201"/>
      <c r="AH99" s="201"/>
      <c r="AI99" s="201"/>
      <c r="AJ99" s="201"/>
      <c r="AK99" s="201"/>
      <c r="AL99" s="201"/>
      <c r="AM99" s="201"/>
      <c r="AN99" s="201"/>
      <c r="AO99" s="201"/>
      <c r="AP99" s="201"/>
      <c r="AQ99" s="201"/>
    </row>
    <row r="100" ht="15.75" customHeight="1">
      <c r="A100" s="273" t="s">
        <v>212</v>
      </c>
      <c r="B100" s="250" t="s">
        <v>213</v>
      </c>
      <c r="C100" s="251" t="s">
        <v>214</v>
      </c>
      <c r="D100" s="122"/>
      <c r="E100" s="122"/>
      <c r="F100" s="252"/>
      <c r="G100" s="253" t="s">
        <v>62</v>
      </c>
      <c r="H100" s="274" t="s">
        <v>1</v>
      </c>
      <c r="I100" s="255"/>
      <c r="J100" s="256">
        <f>IFERROR(VLOOKUP(H100,Criteria!B:L,7,0),IFERROR(VLOOKUP(H100,Criteria!C:M,7,0),IFERROR(VLOOKUP(H100,Criteria!D:N,7,0),IFERROR(VLOOKUP(H100,Criteria!E:O,7,0),IFERROR(VLOOKUP(H100,Criteria!F:P,7,0),NA())))))</f>
        <v>1</v>
      </c>
      <c r="K100" s="305"/>
      <c r="L100" s="306">
        <f t="shared" si="43"/>
        <v>1</v>
      </c>
      <c r="M100" s="293">
        <f t="shared" si="44"/>
        <v>2</v>
      </c>
      <c r="N100" s="294">
        <f t="shared" si="42"/>
        <v>3</v>
      </c>
      <c r="O100" s="295">
        <f t="shared" si="41"/>
        <v>4</v>
      </c>
      <c r="P100" s="265"/>
      <c r="Q100" s="265">
        <v>2.0</v>
      </c>
      <c r="R100" s="313"/>
      <c r="S100" s="313"/>
      <c r="T100" s="314"/>
      <c r="U100" s="260"/>
      <c r="V100" s="261"/>
      <c r="W100" s="261"/>
      <c r="X100" s="181"/>
      <c r="Y100" s="181"/>
      <c r="Z100" s="218"/>
      <c r="AA100" s="201"/>
      <c r="AB100" s="201"/>
      <c r="AC100" s="201"/>
      <c r="AD100" s="201"/>
      <c r="AE100" s="201"/>
      <c r="AF100" s="201"/>
      <c r="AG100" s="201"/>
      <c r="AH100" s="201"/>
      <c r="AI100" s="201"/>
      <c r="AJ100" s="201"/>
      <c r="AK100" s="201"/>
      <c r="AL100" s="201"/>
      <c r="AM100" s="201"/>
      <c r="AN100" s="201"/>
      <c r="AO100" s="201"/>
      <c r="AP100" s="201"/>
      <c r="AQ100" s="201"/>
    </row>
    <row r="101" ht="15.75" customHeight="1">
      <c r="A101" s="273" t="s">
        <v>215</v>
      </c>
      <c r="B101" s="250" t="s">
        <v>216</v>
      </c>
      <c r="C101" s="279" t="s">
        <v>217</v>
      </c>
      <c r="D101" s="277"/>
      <c r="E101" s="277"/>
      <c r="F101" s="278"/>
      <c r="G101" s="253" t="s">
        <v>61</v>
      </c>
      <c r="H101" s="274" t="s">
        <v>2</v>
      </c>
      <c r="I101" s="255"/>
      <c r="J101" s="256">
        <f>IFERROR(VLOOKUP(H101,Criteria!B:L,7,0),IFERROR(VLOOKUP(H101,Criteria!C:M,7,0),IFERROR(VLOOKUP(H101,Criteria!D:N,7,0),IFERROR(VLOOKUP(H101,Criteria!E:O,7,0),IFERROR(VLOOKUP(H101,Criteria!F:P,7,0),NA())))))</f>
        <v>2</v>
      </c>
      <c r="K101" s="305"/>
      <c r="L101" s="306">
        <f t="shared" si="43"/>
        <v>1</v>
      </c>
      <c r="M101" s="293">
        <f t="shared" si="44"/>
        <v>2</v>
      </c>
      <c r="N101" s="294">
        <f t="shared" si="42"/>
        <v>3</v>
      </c>
      <c r="O101" s="295">
        <f t="shared" si="41"/>
        <v>4</v>
      </c>
      <c r="P101" s="265"/>
      <c r="Q101" s="265">
        <v>2.0</v>
      </c>
      <c r="R101" s="313"/>
      <c r="S101" s="313"/>
      <c r="T101" s="314"/>
      <c r="U101" s="260"/>
      <c r="V101" s="261"/>
      <c r="W101" s="261"/>
      <c r="X101" s="181"/>
      <c r="Y101" s="181"/>
      <c r="Z101" s="218"/>
      <c r="AA101" s="201"/>
      <c r="AB101" s="201"/>
      <c r="AC101" s="201"/>
      <c r="AD101" s="201"/>
      <c r="AE101" s="201"/>
      <c r="AF101" s="201"/>
      <c r="AG101" s="201"/>
      <c r="AH101" s="201"/>
      <c r="AI101" s="201"/>
      <c r="AJ101" s="201"/>
      <c r="AK101" s="201"/>
      <c r="AL101" s="201"/>
      <c r="AM101" s="201"/>
      <c r="AN101" s="201"/>
      <c r="AO101" s="201"/>
      <c r="AP101" s="201"/>
      <c r="AQ101" s="201"/>
    </row>
    <row r="102" ht="15.75" customHeight="1">
      <c r="A102" s="273" t="s">
        <v>218</v>
      </c>
      <c r="B102" s="250" t="s">
        <v>219</v>
      </c>
      <c r="C102" s="279" t="s">
        <v>220</v>
      </c>
      <c r="D102" s="277"/>
      <c r="E102" s="277"/>
      <c r="F102" s="278"/>
      <c r="G102" s="253" t="s">
        <v>61</v>
      </c>
      <c r="H102" s="274" t="s">
        <v>0</v>
      </c>
      <c r="I102" s="255"/>
      <c r="J102" s="256">
        <f>IFERROR(VLOOKUP(H102,Criteria!B:L,7,0),IFERROR(VLOOKUP(H102,Criteria!C:M,7,0),IFERROR(VLOOKUP(H102,Criteria!D:N,7,0),IFERROR(VLOOKUP(H102,Criteria!E:O,7,0),IFERROR(VLOOKUP(H102,Criteria!F:P,7,0),NA())))))</f>
        <v>0</v>
      </c>
      <c r="K102" s="305"/>
      <c r="L102" s="292">
        <v>0.0</v>
      </c>
      <c r="M102" s="300">
        <v>1.0</v>
      </c>
      <c r="N102" s="294">
        <f t="shared" si="42"/>
        <v>3</v>
      </c>
      <c r="O102" s="295">
        <f t="shared" si="41"/>
        <v>4</v>
      </c>
      <c r="P102" s="265"/>
      <c r="Q102" s="265">
        <v>2.0</v>
      </c>
      <c r="R102" s="313"/>
      <c r="S102" s="313"/>
      <c r="T102" s="314"/>
      <c r="U102" s="260"/>
      <c r="V102" s="261"/>
      <c r="W102" s="261"/>
      <c r="X102" s="181"/>
      <c r="Y102" s="181"/>
      <c r="Z102" s="218"/>
      <c r="AA102" s="201"/>
      <c r="AB102" s="201"/>
      <c r="AC102" s="201"/>
      <c r="AD102" s="201"/>
      <c r="AE102" s="201"/>
      <c r="AF102" s="201"/>
      <c r="AG102" s="201"/>
      <c r="AH102" s="201"/>
      <c r="AI102" s="201"/>
      <c r="AJ102" s="201"/>
      <c r="AK102" s="201"/>
      <c r="AL102" s="201"/>
      <c r="AM102" s="201"/>
      <c r="AN102" s="201"/>
      <c r="AO102" s="201"/>
      <c r="AP102" s="201"/>
      <c r="AQ102" s="201"/>
    </row>
    <row r="103" ht="15.75" customHeight="1">
      <c r="A103" s="273" t="s">
        <v>221</v>
      </c>
      <c r="B103" s="250" t="s">
        <v>222</v>
      </c>
      <c r="C103" s="251" t="s">
        <v>223</v>
      </c>
      <c r="D103" s="122"/>
      <c r="E103" s="122"/>
      <c r="F103" s="252"/>
      <c r="G103" s="253" t="s">
        <v>61</v>
      </c>
      <c r="H103" s="274" t="s">
        <v>3</v>
      </c>
      <c r="I103" s="255"/>
      <c r="J103" s="256">
        <f>IFERROR(VLOOKUP(H103,Criteria!B:L,7,0),IFERROR(VLOOKUP(H103,Criteria!C:M,7,0),IFERROR(VLOOKUP(H103,Criteria!D:N,7,0),IFERROR(VLOOKUP(H103,Criteria!E:O,7,0),IFERROR(VLOOKUP(H103,Criteria!F:P,7,0),NA())))))</f>
        <v>3</v>
      </c>
      <c r="K103" s="305"/>
      <c r="L103" s="306">
        <f>1</f>
        <v>1</v>
      </c>
      <c r="M103" s="293">
        <f>2</f>
        <v>2</v>
      </c>
      <c r="N103" s="294">
        <f t="shared" si="42"/>
        <v>3</v>
      </c>
      <c r="O103" s="295">
        <f t="shared" si="41"/>
        <v>4</v>
      </c>
      <c r="P103" s="265"/>
      <c r="Q103" s="265">
        <v>2.0</v>
      </c>
      <c r="R103" s="313"/>
      <c r="S103" s="313"/>
      <c r="T103" s="314"/>
      <c r="U103" s="260"/>
      <c r="V103" s="261"/>
      <c r="W103" s="261"/>
      <c r="X103" s="181"/>
      <c r="Y103" s="181"/>
      <c r="Z103" s="218"/>
      <c r="AA103" s="201"/>
      <c r="AB103" s="201"/>
      <c r="AC103" s="201"/>
      <c r="AD103" s="201"/>
      <c r="AE103" s="201"/>
      <c r="AF103" s="201"/>
      <c r="AG103" s="201"/>
      <c r="AH103" s="201"/>
      <c r="AI103" s="201"/>
      <c r="AJ103" s="201"/>
      <c r="AK103" s="201"/>
      <c r="AL103" s="201"/>
      <c r="AM103" s="201"/>
      <c r="AN103" s="201"/>
      <c r="AO103" s="201"/>
      <c r="AP103" s="201"/>
      <c r="AQ103" s="201"/>
    </row>
    <row r="104" ht="15.75" customHeight="1">
      <c r="A104" s="308"/>
      <c r="B104" s="4"/>
      <c r="C104" s="330"/>
      <c r="D104" s="330"/>
      <c r="E104" s="330"/>
      <c r="F104" s="330"/>
      <c r="G104" s="337"/>
      <c r="H104" s="338"/>
      <c r="I104" s="339"/>
      <c r="J104" s="340"/>
      <c r="K104" s="305"/>
      <c r="L104" s="341"/>
      <c r="M104" s="341"/>
      <c r="N104" s="341"/>
      <c r="O104" s="341"/>
      <c r="P104" s="342"/>
      <c r="Q104" s="342"/>
      <c r="R104" s="313"/>
      <c r="S104" s="313"/>
      <c r="T104" s="314"/>
      <c r="U104" s="260"/>
      <c r="V104" s="261"/>
      <c r="W104" s="261"/>
      <c r="X104" s="181"/>
      <c r="Y104" s="181"/>
      <c r="Z104" s="218"/>
      <c r="AA104" s="201"/>
      <c r="AB104" s="201"/>
      <c r="AC104" s="201"/>
      <c r="AD104" s="201"/>
      <c r="AE104" s="201"/>
      <c r="AF104" s="201"/>
      <c r="AG104" s="201"/>
      <c r="AH104" s="201"/>
      <c r="AI104" s="201"/>
      <c r="AJ104" s="201"/>
      <c r="AK104" s="201"/>
      <c r="AL104" s="201"/>
      <c r="AM104" s="201"/>
      <c r="AN104" s="201"/>
      <c r="AO104" s="201"/>
      <c r="AP104" s="201"/>
      <c r="AQ104" s="201"/>
    </row>
    <row r="105" ht="15.75" customHeight="1">
      <c r="A105" s="308">
        <v>7.0</v>
      </c>
      <c r="B105" s="328" t="s">
        <v>50</v>
      </c>
      <c r="C105" s="343"/>
      <c r="D105" s="343"/>
      <c r="E105" s="343"/>
      <c r="F105" s="343"/>
      <c r="G105" s="337"/>
      <c r="H105" s="310"/>
      <c r="I105" s="310"/>
      <c r="J105" s="311">
        <f>AVERAGEIF(J107:J112,"&gt;= 0")</f>
        <v>1</v>
      </c>
      <c r="K105" s="305"/>
      <c r="L105" s="312">
        <f t="shared" ref="L105:O105" si="45">AVERAGEIF(L107:L112,"&gt;= 0")</f>
        <v>1.166666667</v>
      </c>
      <c r="M105" s="312">
        <f t="shared" si="45"/>
        <v>2</v>
      </c>
      <c r="N105" s="312">
        <f t="shared" si="45"/>
        <v>3</v>
      </c>
      <c r="O105" s="312">
        <f t="shared" si="45"/>
        <v>4</v>
      </c>
      <c r="P105" s="232"/>
      <c r="Q105" s="232">
        <f>AVERAGEIF(Q107:Q114,"&gt;= 0")</f>
        <v>2.303571429</v>
      </c>
      <c r="R105" s="313"/>
      <c r="S105" s="313"/>
      <c r="T105" s="314"/>
      <c r="U105" s="260"/>
      <c r="V105" s="261"/>
      <c r="W105" s="261"/>
      <c r="X105" s="181"/>
      <c r="Y105" s="181"/>
      <c r="Z105" s="218"/>
      <c r="AA105" s="201"/>
      <c r="AB105" s="201"/>
      <c r="AC105" s="201"/>
      <c r="AD105" s="201"/>
      <c r="AE105" s="201"/>
      <c r="AF105" s="201"/>
      <c r="AG105" s="201"/>
      <c r="AH105" s="201"/>
      <c r="AI105" s="201"/>
      <c r="AJ105" s="201"/>
      <c r="AK105" s="201"/>
      <c r="AL105" s="201"/>
      <c r="AM105" s="201"/>
      <c r="AN105" s="201"/>
      <c r="AO105" s="201"/>
      <c r="AP105" s="201"/>
      <c r="AQ105" s="201"/>
    </row>
    <row r="106" ht="17.25" customHeight="1" outlineLevel="1">
      <c r="A106" s="237"/>
      <c r="B106" s="4"/>
      <c r="C106" s="4"/>
      <c r="D106" s="4"/>
      <c r="E106" s="4"/>
      <c r="F106" s="4"/>
      <c r="G106" s="241"/>
      <c r="H106" s="4"/>
      <c r="I106" s="242"/>
      <c r="J106" s="243"/>
      <c r="K106" s="305"/>
      <c r="L106" s="244"/>
      <c r="M106" s="244"/>
      <c r="N106" s="244"/>
      <c r="O106" s="244"/>
      <c r="P106" s="245"/>
      <c r="Q106" s="245"/>
      <c r="R106" s="246"/>
      <c r="S106" s="246"/>
      <c r="T106" s="291"/>
      <c r="U106" s="260"/>
      <c r="V106" s="261"/>
      <c r="W106" s="261"/>
      <c r="X106" s="181"/>
      <c r="Y106" s="181"/>
      <c r="Z106" s="218"/>
      <c r="AA106" s="210"/>
      <c r="AB106" s="210"/>
      <c r="AC106" s="210"/>
      <c r="AD106" s="210"/>
      <c r="AE106" s="210"/>
      <c r="AF106" s="210"/>
      <c r="AG106" s="210"/>
      <c r="AH106" s="210"/>
      <c r="AI106" s="210"/>
      <c r="AJ106" s="210"/>
      <c r="AK106" s="210"/>
      <c r="AL106" s="210"/>
      <c r="AM106" s="210"/>
      <c r="AN106" s="210"/>
      <c r="AO106" s="210"/>
      <c r="AP106" s="210"/>
      <c r="AQ106" s="210"/>
    </row>
    <row r="107" ht="15.75" customHeight="1" outlineLevel="1">
      <c r="A107" s="273" t="s">
        <v>224</v>
      </c>
      <c r="B107" s="250" t="s">
        <v>225</v>
      </c>
      <c r="C107" s="251" t="s">
        <v>226</v>
      </c>
      <c r="D107" s="122"/>
      <c r="E107" s="122"/>
      <c r="F107" s="252"/>
      <c r="G107" s="253" t="s">
        <v>61</v>
      </c>
      <c r="H107" s="274" t="s">
        <v>2</v>
      </c>
      <c r="I107" s="315"/>
      <c r="J107" s="256">
        <f>IFERROR(VLOOKUP(H107,Criteria!B:L,7,0),IFERROR(VLOOKUP(H107,Criteria!C:M,7,0),IFERROR(VLOOKUP(H107,Criteria!D:N,7,0),IFERROR(VLOOKUP(H107,Criteria!E:O,7,0),IFERROR(VLOOKUP(H107,Criteria!F:P,7,0),NA())))))</f>
        <v>2</v>
      </c>
      <c r="K107" s="305"/>
      <c r="L107" s="321">
        <v>2.0</v>
      </c>
      <c r="M107" s="317">
        <f t="shared" ref="M107:M110" si="46">2</f>
        <v>2</v>
      </c>
      <c r="N107" s="318">
        <f t="shared" ref="N107:N112" si="47">3</f>
        <v>3</v>
      </c>
      <c r="O107" s="319">
        <f t="shared" ref="O107:O112" si="48">4</f>
        <v>4</v>
      </c>
      <c r="P107" s="256"/>
      <c r="Q107" s="256">
        <v>3.0</v>
      </c>
      <c r="R107" s="217"/>
      <c r="S107" s="217"/>
      <c r="T107" s="264"/>
      <c r="U107" s="260"/>
      <c r="V107" s="261"/>
      <c r="W107" s="261"/>
      <c r="X107" s="181"/>
      <c r="Y107" s="181"/>
      <c r="Z107" s="218"/>
      <c r="AA107" s="210"/>
      <c r="AB107" s="210"/>
      <c r="AC107" s="210"/>
      <c r="AD107" s="210"/>
      <c r="AE107" s="210"/>
      <c r="AF107" s="210"/>
      <c r="AG107" s="210"/>
      <c r="AH107" s="210"/>
      <c r="AI107" s="210"/>
      <c r="AJ107" s="210"/>
      <c r="AK107" s="210"/>
      <c r="AL107" s="210"/>
      <c r="AM107" s="210"/>
      <c r="AN107" s="210"/>
      <c r="AO107" s="210"/>
      <c r="AP107" s="210"/>
      <c r="AQ107" s="210"/>
    </row>
    <row r="108" ht="15.75" customHeight="1">
      <c r="A108" s="273" t="s">
        <v>227</v>
      </c>
      <c r="B108" s="250" t="s">
        <v>228</v>
      </c>
      <c r="C108" s="251" t="s">
        <v>229</v>
      </c>
      <c r="D108" s="122"/>
      <c r="E108" s="122"/>
      <c r="F108" s="252"/>
      <c r="G108" s="253" t="s">
        <v>58</v>
      </c>
      <c r="H108" s="274" t="s">
        <v>0</v>
      </c>
      <c r="I108" s="315"/>
      <c r="J108" s="256">
        <f>IFERROR(VLOOKUP(H108,Criteria!B:L,7,0),IFERROR(VLOOKUP(H108,Criteria!C:M,7,0),IFERROR(VLOOKUP(H108,Criteria!D:N,7,0),IFERROR(VLOOKUP(H108,Criteria!E:O,7,0),IFERROR(VLOOKUP(H108,Criteria!F:P,7,0),NA())))))</f>
        <v>0</v>
      </c>
      <c r="K108" s="305"/>
      <c r="L108" s="316">
        <f t="shared" ref="L108:L110" si="49">1</f>
        <v>1</v>
      </c>
      <c r="M108" s="317">
        <f t="shared" si="46"/>
        <v>2</v>
      </c>
      <c r="N108" s="318">
        <f t="shared" si="47"/>
        <v>3</v>
      </c>
      <c r="O108" s="319">
        <f t="shared" si="48"/>
        <v>4</v>
      </c>
      <c r="P108" s="265"/>
      <c r="Q108" s="265">
        <v>2.0</v>
      </c>
      <c r="R108" s="313"/>
      <c r="S108" s="313"/>
      <c r="T108" s="314"/>
      <c r="U108" s="260"/>
      <c r="V108" s="261"/>
      <c r="W108" s="261"/>
      <c r="X108" s="181"/>
      <c r="Y108" s="181"/>
      <c r="Z108" s="218"/>
      <c r="AA108" s="201"/>
      <c r="AB108" s="201"/>
      <c r="AC108" s="201"/>
      <c r="AD108" s="201"/>
      <c r="AE108" s="201"/>
      <c r="AF108" s="201"/>
      <c r="AG108" s="201"/>
      <c r="AH108" s="201"/>
      <c r="AI108" s="201"/>
      <c r="AJ108" s="201"/>
      <c r="AK108" s="201"/>
      <c r="AL108" s="201"/>
      <c r="AM108" s="201"/>
      <c r="AN108" s="201"/>
      <c r="AO108" s="201"/>
      <c r="AP108" s="201"/>
      <c r="AQ108" s="201"/>
    </row>
    <row r="109" ht="15.75" customHeight="1">
      <c r="A109" s="273" t="s">
        <v>230</v>
      </c>
      <c r="B109" s="250" t="s">
        <v>231</v>
      </c>
      <c r="C109" s="251" t="s">
        <v>232</v>
      </c>
      <c r="D109" s="122"/>
      <c r="E109" s="122"/>
      <c r="F109" s="252"/>
      <c r="G109" s="253" t="s">
        <v>61</v>
      </c>
      <c r="H109" s="274" t="s">
        <v>1</v>
      </c>
      <c r="I109" s="315"/>
      <c r="J109" s="256">
        <f>IFERROR(VLOOKUP(H109,Criteria!B:L,7,0),IFERROR(VLOOKUP(H109,Criteria!C:M,7,0),IFERROR(VLOOKUP(H109,Criteria!D:N,7,0),IFERROR(VLOOKUP(H109,Criteria!E:O,7,0),IFERROR(VLOOKUP(H109,Criteria!F:P,7,0),NA())))))</f>
        <v>1</v>
      </c>
      <c r="K109" s="305"/>
      <c r="L109" s="316">
        <f t="shared" si="49"/>
        <v>1</v>
      </c>
      <c r="M109" s="317">
        <f t="shared" si="46"/>
        <v>2</v>
      </c>
      <c r="N109" s="318">
        <f t="shared" si="47"/>
        <v>3</v>
      </c>
      <c r="O109" s="319">
        <f t="shared" si="48"/>
        <v>4</v>
      </c>
      <c r="P109" s="265"/>
      <c r="Q109" s="265">
        <v>2.0</v>
      </c>
      <c r="R109" s="313"/>
      <c r="S109" s="313"/>
      <c r="T109" s="314"/>
      <c r="U109" s="260"/>
      <c r="V109" s="261"/>
      <c r="W109" s="261"/>
      <c r="X109" s="181"/>
      <c r="Y109" s="181"/>
      <c r="Z109" s="218"/>
      <c r="AA109" s="201"/>
      <c r="AB109" s="201"/>
      <c r="AC109" s="201"/>
      <c r="AD109" s="201"/>
      <c r="AE109" s="201"/>
      <c r="AF109" s="201"/>
      <c r="AG109" s="201"/>
      <c r="AH109" s="201"/>
      <c r="AI109" s="201"/>
      <c r="AJ109" s="201"/>
      <c r="AK109" s="201"/>
      <c r="AL109" s="201"/>
      <c r="AM109" s="201"/>
      <c r="AN109" s="201"/>
      <c r="AO109" s="201"/>
      <c r="AP109" s="201"/>
      <c r="AQ109" s="201"/>
    </row>
    <row r="110" ht="15.75" customHeight="1">
      <c r="A110" s="273" t="s">
        <v>233</v>
      </c>
      <c r="B110" s="250" t="s">
        <v>234</v>
      </c>
      <c r="C110" s="251" t="s">
        <v>235</v>
      </c>
      <c r="D110" s="122"/>
      <c r="E110" s="122"/>
      <c r="F110" s="252"/>
      <c r="G110" s="253" t="s">
        <v>58</v>
      </c>
      <c r="H110" s="274" t="s">
        <v>2</v>
      </c>
      <c r="I110" s="315"/>
      <c r="J110" s="256">
        <f>IFERROR(VLOOKUP(H110,Criteria!B:L,7,0),IFERROR(VLOOKUP(H110,Criteria!C:M,7,0),IFERROR(VLOOKUP(H110,Criteria!D:N,7,0),IFERROR(VLOOKUP(H110,Criteria!E:O,7,0),IFERROR(VLOOKUP(H110,Criteria!F:P,7,0),NA())))))</f>
        <v>2</v>
      </c>
      <c r="K110" s="305"/>
      <c r="L110" s="316">
        <f t="shared" si="49"/>
        <v>1</v>
      </c>
      <c r="M110" s="317">
        <f t="shared" si="46"/>
        <v>2</v>
      </c>
      <c r="N110" s="318">
        <f t="shared" si="47"/>
        <v>3</v>
      </c>
      <c r="O110" s="319">
        <f t="shared" si="48"/>
        <v>4</v>
      </c>
      <c r="P110" s="256"/>
      <c r="Q110" s="256">
        <v>3.0</v>
      </c>
      <c r="R110" s="313"/>
      <c r="S110" s="313"/>
      <c r="T110" s="314"/>
      <c r="U110" s="260"/>
      <c r="V110" s="261"/>
      <c r="W110" s="261"/>
      <c r="X110" s="181"/>
      <c r="Y110" s="181"/>
      <c r="Z110" s="218"/>
      <c r="AA110" s="201"/>
      <c r="AB110" s="201"/>
      <c r="AC110" s="201"/>
      <c r="AD110" s="201"/>
      <c r="AE110" s="201"/>
      <c r="AF110" s="201"/>
      <c r="AG110" s="201"/>
      <c r="AH110" s="201"/>
      <c r="AI110" s="201"/>
      <c r="AJ110" s="201"/>
      <c r="AK110" s="201"/>
      <c r="AL110" s="201"/>
      <c r="AM110" s="201"/>
      <c r="AN110" s="201"/>
      <c r="AO110" s="201"/>
      <c r="AP110" s="201"/>
      <c r="AQ110" s="201"/>
    </row>
    <row r="111" ht="15.75" customHeight="1">
      <c r="A111" s="273" t="s">
        <v>236</v>
      </c>
      <c r="B111" s="250" t="s">
        <v>237</v>
      </c>
      <c r="C111" s="251" t="s">
        <v>238</v>
      </c>
      <c r="D111" s="122"/>
      <c r="E111" s="122"/>
      <c r="F111" s="252"/>
      <c r="G111" s="253" t="s">
        <v>58</v>
      </c>
      <c r="H111" s="274" t="s">
        <v>0</v>
      </c>
      <c r="I111" s="315"/>
      <c r="J111" s="256">
        <f>IFERROR(VLOOKUP(H111,Criteria!B:L,7,0),IFERROR(VLOOKUP(H111,Criteria!C:M,7,0),IFERROR(VLOOKUP(H111,Criteria!D:N,7,0),IFERROR(VLOOKUP(H111,Criteria!E:O,7,0),IFERROR(VLOOKUP(H111,Criteria!F:P,7,0),NA())))))</f>
        <v>0</v>
      </c>
      <c r="K111" s="305"/>
      <c r="L111" s="321">
        <v>0.0</v>
      </c>
      <c r="M111" s="322">
        <v>1.0</v>
      </c>
      <c r="N111" s="318">
        <f t="shared" si="47"/>
        <v>3</v>
      </c>
      <c r="O111" s="319">
        <f t="shared" si="48"/>
        <v>4</v>
      </c>
      <c r="P111" s="265"/>
      <c r="Q111" s="265">
        <v>2.0</v>
      </c>
      <c r="R111" s="313"/>
      <c r="S111" s="313"/>
      <c r="T111" s="314"/>
      <c r="U111" s="260"/>
      <c r="V111" s="261"/>
      <c r="W111" s="261"/>
      <c r="X111" s="181"/>
      <c r="Y111" s="181"/>
      <c r="Z111" s="218"/>
      <c r="AA111" s="201"/>
      <c r="AB111" s="201"/>
      <c r="AC111" s="201"/>
      <c r="AD111" s="201"/>
      <c r="AE111" s="201"/>
      <c r="AF111" s="201"/>
      <c r="AG111" s="201"/>
      <c r="AH111" s="201"/>
      <c r="AI111" s="201"/>
      <c r="AJ111" s="201"/>
      <c r="AK111" s="201"/>
      <c r="AL111" s="201"/>
      <c r="AM111" s="201"/>
      <c r="AN111" s="201"/>
      <c r="AO111" s="201"/>
      <c r="AP111" s="201"/>
      <c r="AQ111" s="201"/>
    </row>
    <row r="112" ht="15.75" customHeight="1">
      <c r="A112" s="273" t="s">
        <v>239</v>
      </c>
      <c r="B112" s="250" t="s">
        <v>240</v>
      </c>
      <c r="C112" s="251" t="s">
        <v>241</v>
      </c>
      <c r="D112" s="122"/>
      <c r="E112" s="122"/>
      <c r="F112" s="252"/>
      <c r="G112" s="253" t="s">
        <v>58</v>
      </c>
      <c r="H112" s="274" t="s">
        <v>1</v>
      </c>
      <c r="I112" s="315"/>
      <c r="J112" s="256">
        <f>IFERROR(VLOOKUP(H112,Criteria!B:L,7,0),IFERROR(VLOOKUP(H112,Criteria!C:M,7,0),IFERROR(VLOOKUP(H112,Criteria!D:N,7,0),IFERROR(VLOOKUP(H112,Criteria!E:O,7,0),IFERROR(VLOOKUP(H112,Criteria!F:P,7,0),NA())))))</f>
        <v>1</v>
      </c>
      <c r="K112" s="305"/>
      <c r="L112" s="321">
        <v>2.0</v>
      </c>
      <c r="M112" s="322">
        <v>3.0</v>
      </c>
      <c r="N112" s="318">
        <f t="shared" si="47"/>
        <v>3</v>
      </c>
      <c r="O112" s="319">
        <f t="shared" si="48"/>
        <v>4</v>
      </c>
      <c r="P112" s="265"/>
      <c r="Q112" s="265">
        <v>2.0</v>
      </c>
      <c r="R112" s="313"/>
      <c r="S112" s="313"/>
      <c r="T112" s="314"/>
      <c r="U112" s="260"/>
      <c r="V112" s="261"/>
      <c r="W112" s="261"/>
      <c r="X112" s="181"/>
      <c r="Y112" s="181"/>
      <c r="Z112" s="218"/>
      <c r="AA112" s="201"/>
      <c r="AB112" s="201"/>
      <c r="AC112" s="201"/>
      <c r="AD112" s="201"/>
      <c r="AE112" s="201"/>
      <c r="AF112" s="201"/>
      <c r="AG112" s="201"/>
      <c r="AH112" s="201"/>
      <c r="AI112" s="201"/>
      <c r="AJ112" s="201"/>
      <c r="AK112" s="201"/>
      <c r="AL112" s="201"/>
      <c r="AM112" s="201"/>
      <c r="AN112" s="201"/>
      <c r="AO112" s="201"/>
      <c r="AP112" s="201"/>
      <c r="AQ112" s="201"/>
    </row>
    <row r="113" ht="15.75" customHeight="1">
      <c r="A113" s="308"/>
      <c r="B113" s="4"/>
      <c r="C113" s="330"/>
      <c r="D113" s="330"/>
      <c r="E113" s="330"/>
      <c r="F113" s="330"/>
      <c r="G113" s="337"/>
      <c r="H113" s="338"/>
      <c r="I113" s="339"/>
      <c r="J113" s="340"/>
      <c r="K113" s="305"/>
      <c r="L113" s="341"/>
      <c r="M113" s="341"/>
      <c r="N113" s="341"/>
      <c r="O113" s="341"/>
      <c r="P113" s="344"/>
      <c r="Q113" s="344"/>
      <c r="R113" s="313"/>
      <c r="S113" s="313"/>
      <c r="T113" s="314"/>
      <c r="U113" s="260"/>
      <c r="V113" s="261"/>
      <c r="W113" s="261"/>
      <c r="X113" s="181"/>
      <c r="Y113" s="181"/>
      <c r="Z113" s="218"/>
      <c r="AA113" s="201"/>
      <c r="AB113" s="201"/>
      <c r="AC113" s="201"/>
      <c r="AD113" s="201"/>
      <c r="AE113" s="201"/>
      <c r="AF113" s="201"/>
      <c r="AG113" s="201"/>
      <c r="AH113" s="201"/>
      <c r="AI113" s="201"/>
      <c r="AJ113" s="201"/>
      <c r="AK113" s="201"/>
      <c r="AL113" s="201"/>
      <c r="AM113" s="201"/>
      <c r="AN113" s="201"/>
      <c r="AO113" s="201"/>
      <c r="AP113" s="201"/>
      <c r="AQ113" s="201"/>
    </row>
    <row r="114" ht="15.75" customHeight="1">
      <c r="A114" s="308">
        <v>8.0</v>
      </c>
      <c r="B114" s="328" t="s">
        <v>51</v>
      </c>
      <c r="C114" s="343"/>
      <c r="D114" s="343"/>
      <c r="E114" s="343"/>
      <c r="F114" s="343"/>
      <c r="G114" s="337"/>
      <c r="H114" s="310"/>
      <c r="I114" s="310"/>
      <c r="J114" s="311">
        <f>AVERAGEIF(J116:J123,"&gt;= 0")</f>
        <v>1.5</v>
      </c>
      <c r="K114" s="305"/>
      <c r="L114" s="312">
        <f t="shared" ref="L114:O114" si="50">AVERAGEIF(L116:L123,"&gt;= 0")</f>
        <v>0.75</v>
      </c>
      <c r="M114" s="312">
        <f t="shared" si="50"/>
        <v>1.75</v>
      </c>
      <c r="N114" s="312">
        <f t="shared" si="50"/>
        <v>3</v>
      </c>
      <c r="O114" s="312">
        <f t="shared" si="50"/>
        <v>4</v>
      </c>
      <c r="P114" s="232"/>
      <c r="Q114" s="232">
        <f>AVERAGEIF(Q116:Q123,"&gt;= 0")</f>
        <v>2.125</v>
      </c>
      <c r="R114" s="313"/>
      <c r="S114" s="313"/>
      <c r="T114" s="314"/>
      <c r="U114" s="260"/>
      <c r="V114" s="261"/>
      <c r="W114" s="261"/>
      <c r="X114" s="181"/>
      <c r="Y114" s="181"/>
      <c r="Z114" s="218"/>
      <c r="AA114" s="201"/>
      <c r="AB114" s="201"/>
      <c r="AC114" s="201"/>
      <c r="AD114" s="201"/>
      <c r="AE114" s="201"/>
      <c r="AF114" s="201"/>
      <c r="AG114" s="201"/>
      <c r="AH114" s="201"/>
      <c r="AI114" s="201"/>
      <c r="AJ114" s="201"/>
      <c r="AK114" s="201"/>
      <c r="AL114" s="201"/>
      <c r="AM114" s="201"/>
      <c r="AN114" s="201"/>
      <c r="AO114" s="201"/>
      <c r="AP114" s="201"/>
      <c r="AQ114" s="201"/>
    </row>
    <row r="115" ht="17.25" customHeight="1" outlineLevel="1">
      <c r="A115" s="237"/>
      <c r="B115" s="4"/>
      <c r="C115" s="4"/>
      <c r="D115" s="4"/>
      <c r="E115" s="4"/>
      <c r="F115" s="4"/>
      <c r="G115" s="241"/>
      <c r="H115" s="4"/>
      <c r="I115" s="242"/>
      <c r="J115" s="243"/>
      <c r="K115" s="305"/>
      <c r="L115" s="244"/>
      <c r="M115" s="244"/>
      <c r="N115" s="244"/>
      <c r="O115" s="244"/>
      <c r="P115" s="345"/>
      <c r="Q115" s="345"/>
      <c r="R115" s="246"/>
      <c r="S115" s="246"/>
      <c r="T115" s="291"/>
      <c r="U115" s="260"/>
      <c r="V115" s="261"/>
      <c r="W115" s="261"/>
      <c r="X115" s="181"/>
      <c r="Y115" s="181"/>
      <c r="Z115" s="218"/>
      <c r="AA115" s="210"/>
      <c r="AB115" s="210"/>
      <c r="AC115" s="210"/>
      <c r="AD115" s="210"/>
      <c r="AE115" s="210"/>
      <c r="AF115" s="210"/>
      <c r="AG115" s="210"/>
      <c r="AH115" s="210"/>
      <c r="AI115" s="210"/>
      <c r="AJ115" s="210"/>
      <c r="AK115" s="210"/>
      <c r="AL115" s="210"/>
      <c r="AM115" s="210"/>
      <c r="AN115" s="210"/>
      <c r="AO115" s="210"/>
      <c r="AP115" s="210"/>
      <c r="AQ115" s="210"/>
    </row>
    <row r="116" ht="15.75" customHeight="1">
      <c r="A116" s="273" t="s">
        <v>242</v>
      </c>
      <c r="B116" s="250" t="s">
        <v>243</v>
      </c>
      <c r="C116" s="251" t="s">
        <v>244</v>
      </c>
      <c r="D116" s="122"/>
      <c r="E116" s="122"/>
      <c r="F116" s="252"/>
      <c r="G116" s="253" t="s">
        <v>58</v>
      </c>
      <c r="H116" s="274" t="s">
        <v>2</v>
      </c>
      <c r="I116" s="315"/>
      <c r="J116" s="256">
        <f>IFERROR(VLOOKUP(H116,Criteria!B:L,7,0),IFERROR(VLOOKUP(H116,Criteria!C:M,7,0),IFERROR(VLOOKUP(H116,Criteria!D:N,7,0),IFERROR(VLOOKUP(H116,Criteria!E:O,7,0),IFERROR(VLOOKUP(H116,Criteria!F:P,7,0),NA())))))</f>
        <v>2</v>
      </c>
      <c r="K116" s="305"/>
      <c r="L116" s="316">
        <f>1</f>
        <v>1</v>
      </c>
      <c r="M116" s="317">
        <f>2</f>
        <v>2</v>
      </c>
      <c r="N116" s="318">
        <f t="shared" ref="N116:N123" si="51">3</f>
        <v>3</v>
      </c>
      <c r="O116" s="319">
        <f t="shared" ref="O116:O123" si="52">4</f>
        <v>4</v>
      </c>
      <c r="P116" s="346"/>
      <c r="Q116" s="346">
        <v>3.0</v>
      </c>
      <c r="R116" s="313"/>
      <c r="S116" s="313"/>
      <c r="T116" s="314"/>
      <c r="U116" s="260"/>
      <c r="V116" s="261"/>
      <c r="W116" s="261"/>
      <c r="X116" s="181"/>
      <c r="Y116" s="181"/>
      <c r="Z116" s="218"/>
      <c r="AA116" s="201"/>
      <c r="AB116" s="201"/>
      <c r="AC116" s="201"/>
      <c r="AD116" s="201"/>
      <c r="AE116" s="201"/>
      <c r="AF116" s="201"/>
      <c r="AG116" s="201"/>
      <c r="AH116" s="201"/>
      <c r="AI116" s="201"/>
      <c r="AJ116" s="201"/>
      <c r="AK116" s="201"/>
      <c r="AL116" s="201"/>
      <c r="AM116" s="201"/>
      <c r="AN116" s="201"/>
      <c r="AO116" s="201"/>
      <c r="AP116" s="201"/>
      <c r="AQ116" s="201"/>
    </row>
    <row r="117" ht="15.75" customHeight="1">
      <c r="A117" s="273" t="s">
        <v>245</v>
      </c>
      <c r="B117" s="250" t="s">
        <v>246</v>
      </c>
      <c r="C117" s="251" t="s">
        <v>247</v>
      </c>
      <c r="D117" s="122"/>
      <c r="E117" s="122"/>
      <c r="F117" s="252"/>
      <c r="G117" s="253" t="s">
        <v>61</v>
      </c>
      <c r="H117" s="274" t="s">
        <v>0</v>
      </c>
      <c r="I117" s="315"/>
      <c r="J117" s="256">
        <f>IFERROR(VLOOKUP(H117,Criteria!B:L,7,0),IFERROR(VLOOKUP(H117,Criteria!C:M,7,0),IFERROR(VLOOKUP(H117,Criteria!D:N,7,0),IFERROR(VLOOKUP(H117,Criteria!E:O,7,0),IFERROR(VLOOKUP(H117,Criteria!F:P,7,0),NA())))))</f>
        <v>0</v>
      </c>
      <c r="K117" s="305"/>
      <c r="L117" s="321">
        <v>0.0</v>
      </c>
      <c r="M117" s="322">
        <v>1.0</v>
      </c>
      <c r="N117" s="318">
        <f t="shared" si="51"/>
        <v>3</v>
      </c>
      <c r="O117" s="319">
        <f t="shared" si="52"/>
        <v>4</v>
      </c>
      <c r="P117" s="346"/>
      <c r="Q117" s="347">
        <v>1.0</v>
      </c>
      <c r="R117" s="313"/>
      <c r="S117" s="313"/>
      <c r="T117" s="314"/>
      <c r="U117" s="260"/>
      <c r="V117" s="261"/>
      <c r="W117" s="261"/>
      <c r="X117" s="181"/>
      <c r="Y117" s="181"/>
      <c r="Z117" s="218"/>
      <c r="AA117" s="201"/>
      <c r="AB117" s="201"/>
      <c r="AC117" s="201"/>
      <c r="AD117" s="201"/>
      <c r="AE117" s="201"/>
      <c r="AF117" s="201"/>
      <c r="AG117" s="201"/>
      <c r="AH117" s="201"/>
      <c r="AI117" s="201"/>
      <c r="AJ117" s="201"/>
      <c r="AK117" s="201"/>
      <c r="AL117" s="201"/>
      <c r="AM117" s="201"/>
      <c r="AN117" s="201"/>
      <c r="AO117" s="201"/>
      <c r="AP117" s="201"/>
      <c r="AQ117" s="201"/>
    </row>
    <row r="118" ht="15.75" customHeight="1">
      <c r="A118" s="273" t="s">
        <v>248</v>
      </c>
      <c r="B118" s="250" t="s">
        <v>249</v>
      </c>
      <c r="C118" s="251" t="s">
        <v>250</v>
      </c>
      <c r="D118" s="122"/>
      <c r="E118" s="122"/>
      <c r="F118" s="252"/>
      <c r="G118" s="253" t="s">
        <v>58</v>
      </c>
      <c r="H118" s="274" t="s">
        <v>1</v>
      </c>
      <c r="I118" s="315"/>
      <c r="J118" s="256">
        <f>IFERROR(VLOOKUP(H118,Criteria!B:L,7,0),IFERROR(VLOOKUP(H118,Criteria!C:M,7,0),IFERROR(VLOOKUP(H118,Criteria!D:N,7,0),IFERROR(VLOOKUP(H118,Criteria!E:O,7,0),IFERROR(VLOOKUP(H118,Criteria!F:P,7,0),NA())))))</f>
        <v>1</v>
      </c>
      <c r="K118" s="305"/>
      <c r="L118" s="316">
        <f>1</f>
        <v>1</v>
      </c>
      <c r="M118" s="317">
        <f>2</f>
        <v>2</v>
      </c>
      <c r="N118" s="318">
        <f t="shared" si="51"/>
        <v>3</v>
      </c>
      <c r="O118" s="319">
        <f t="shared" si="52"/>
        <v>4</v>
      </c>
      <c r="P118" s="346"/>
      <c r="Q118" s="346">
        <v>3.0</v>
      </c>
      <c r="R118" s="313"/>
      <c r="S118" s="313"/>
      <c r="T118" s="314"/>
      <c r="U118" s="260"/>
      <c r="V118" s="261"/>
      <c r="W118" s="261"/>
      <c r="X118" s="181"/>
      <c r="Y118" s="181"/>
      <c r="Z118" s="218"/>
      <c r="AA118" s="201"/>
      <c r="AB118" s="201"/>
      <c r="AC118" s="201"/>
      <c r="AD118" s="201"/>
      <c r="AE118" s="201"/>
      <c r="AF118" s="201"/>
      <c r="AG118" s="201"/>
      <c r="AH118" s="201"/>
      <c r="AI118" s="201"/>
      <c r="AJ118" s="201"/>
      <c r="AK118" s="201"/>
      <c r="AL118" s="201"/>
      <c r="AM118" s="201"/>
      <c r="AN118" s="201"/>
      <c r="AO118" s="201"/>
      <c r="AP118" s="201"/>
      <c r="AQ118" s="201"/>
    </row>
    <row r="119" ht="15.75" customHeight="1">
      <c r="A119" s="273" t="s">
        <v>251</v>
      </c>
      <c r="B119" s="250" t="s">
        <v>252</v>
      </c>
      <c r="C119" s="251" t="s">
        <v>253</v>
      </c>
      <c r="D119" s="122"/>
      <c r="E119" s="122"/>
      <c r="F119" s="252"/>
      <c r="G119" s="253" t="s">
        <v>61</v>
      </c>
      <c r="H119" s="274" t="s">
        <v>2</v>
      </c>
      <c r="I119" s="315"/>
      <c r="J119" s="256">
        <f>IFERROR(VLOOKUP(H119,Criteria!B:L,7,0),IFERROR(VLOOKUP(H119,Criteria!C:M,7,0),IFERROR(VLOOKUP(H119,Criteria!D:N,7,0),IFERROR(VLOOKUP(H119,Criteria!E:O,7,0),IFERROR(VLOOKUP(H119,Criteria!F:P,7,0),NA())))))</f>
        <v>2</v>
      </c>
      <c r="K119" s="305"/>
      <c r="L119" s="321">
        <v>2.0</v>
      </c>
      <c r="M119" s="322">
        <v>3.0</v>
      </c>
      <c r="N119" s="318">
        <f t="shared" si="51"/>
        <v>3</v>
      </c>
      <c r="O119" s="319">
        <f t="shared" si="52"/>
        <v>4</v>
      </c>
      <c r="P119" s="347"/>
      <c r="Q119" s="347">
        <v>2.0</v>
      </c>
      <c r="R119" s="313"/>
      <c r="S119" s="313"/>
      <c r="T119" s="314"/>
      <c r="U119" s="260"/>
      <c r="V119" s="261"/>
      <c r="W119" s="261"/>
      <c r="X119" s="181"/>
      <c r="Y119" s="181"/>
      <c r="Z119" s="218"/>
      <c r="AA119" s="201"/>
      <c r="AB119" s="201"/>
      <c r="AC119" s="201"/>
      <c r="AD119" s="201"/>
      <c r="AE119" s="201"/>
      <c r="AF119" s="201"/>
      <c r="AG119" s="201"/>
      <c r="AH119" s="201"/>
      <c r="AI119" s="201"/>
      <c r="AJ119" s="201"/>
      <c r="AK119" s="201"/>
      <c r="AL119" s="201"/>
      <c r="AM119" s="201"/>
      <c r="AN119" s="201"/>
      <c r="AO119" s="201"/>
      <c r="AP119" s="201"/>
      <c r="AQ119" s="201"/>
    </row>
    <row r="120" ht="15.75" customHeight="1">
      <c r="A120" s="273" t="s">
        <v>254</v>
      </c>
      <c r="B120" s="250" t="s">
        <v>255</v>
      </c>
      <c r="C120" s="251" t="s">
        <v>256</v>
      </c>
      <c r="D120" s="122"/>
      <c r="E120" s="122"/>
      <c r="F120" s="252"/>
      <c r="G120" s="253" t="s">
        <v>58</v>
      </c>
      <c r="H120" s="274" t="s">
        <v>0</v>
      </c>
      <c r="I120" s="315"/>
      <c r="J120" s="256">
        <f>IFERROR(VLOOKUP(H120,Criteria!B:L,7,0),IFERROR(VLOOKUP(H120,Criteria!C:M,7,0),IFERROR(VLOOKUP(H120,Criteria!D:N,7,0),IFERROR(VLOOKUP(H120,Criteria!E:O,7,0),IFERROR(VLOOKUP(H120,Criteria!F:P,7,0),NA())))))</f>
        <v>0</v>
      </c>
      <c r="K120" s="305"/>
      <c r="L120" s="321">
        <v>0.0</v>
      </c>
      <c r="M120" s="322">
        <v>1.0</v>
      </c>
      <c r="N120" s="318">
        <f t="shared" si="51"/>
        <v>3</v>
      </c>
      <c r="O120" s="319">
        <f t="shared" si="52"/>
        <v>4</v>
      </c>
      <c r="P120" s="346"/>
      <c r="Q120" s="347">
        <v>2.0</v>
      </c>
      <c r="R120" s="313"/>
      <c r="S120" s="313"/>
      <c r="T120" s="314"/>
      <c r="U120" s="260"/>
      <c r="V120" s="261"/>
      <c r="W120" s="261"/>
      <c r="X120" s="181"/>
      <c r="Y120" s="181"/>
      <c r="Z120" s="218"/>
      <c r="AA120" s="201"/>
      <c r="AB120" s="201"/>
      <c r="AC120" s="201"/>
      <c r="AD120" s="201"/>
      <c r="AE120" s="201"/>
      <c r="AF120" s="201"/>
      <c r="AG120" s="201"/>
      <c r="AH120" s="201"/>
      <c r="AI120" s="201"/>
      <c r="AJ120" s="201"/>
      <c r="AK120" s="201"/>
      <c r="AL120" s="201"/>
      <c r="AM120" s="201"/>
      <c r="AN120" s="201"/>
      <c r="AO120" s="201"/>
      <c r="AP120" s="201"/>
      <c r="AQ120" s="201"/>
    </row>
    <row r="121" ht="15.75" customHeight="1">
      <c r="A121" s="273" t="s">
        <v>257</v>
      </c>
      <c r="B121" s="250" t="s">
        <v>258</v>
      </c>
      <c r="C121" s="251" t="s">
        <v>259</v>
      </c>
      <c r="D121" s="122"/>
      <c r="E121" s="122"/>
      <c r="F121" s="252"/>
      <c r="G121" s="253" t="s">
        <v>58</v>
      </c>
      <c r="H121" s="274" t="s">
        <v>3</v>
      </c>
      <c r="I121" s="315"/>
      <c r="J121" s="256">
        <f>IFERROR(VLOOKUP(H121,Criteria!B:L,7,0),IFERROR(VLOOKUP(H121,Criteria!C:M,7,0),IFERROR(VLOOKUP(H121,Criteria!D:N,7,0),IFERROR(VLOOKUP(H121,Criteria!E:O,7,0),IFERROR(VLOOKUP(H121,Criteria!F:P,7,0),NA())))))</f>
        <v>3</v>
      </c>
      <c r="K121" s="305"/>
      <c r="L121" s="316">
        <f>1</f>
        <v>1</v>
      </c>
      <c r="M121" s="317">
        <f>2</f>
        <v>2</v>
      </c>
      <c r="N121" s="318">
        <f t="shared" si="51"/>
        <v>3</v>
      </c>
      <c r="O121" s="319">
        <f t="shared" si="52"/>
        <v>4</v>
      </c>
      <c r="P121" s="347"/>
      <c r="Q121" s="347">
        <v>2.0</v>
      </c>
      <c r="R121" s="313"/>
      <c r="S121" s="313"/>
      <c r="T121" s="314"/>
      <c r="U121" s="260"/>
      <c r="V121" s="261"/>
      <c r="W121" s="261"/>
      <c r="X121" s="181"/>
      <c r="Y121" s="181"/>
      <c r="Z121" s="218"/>
      <c r="AA121" s="201"/>
      <c r="AB121" s="201"/>
      <c r="AC121" s="201"/>
      <c r="AD121" s="201"/>
      <c r="AE121" s="201"/>
      <c r="AF121" s="201"/>
      <c r="AG121" s="201"/>
      <c r="AH121" s="201"/>
      <c r="AI121" s="201"/>
      <c r="AJ121" s="201"/>
      <c r="AK121" s="201"/>
      <c r="AL121" s="201"/>
      <c r="AM121" s="201"/>
      <c r="AN121" s="201"/>
      <c r="AO121" s="201"/>
      <c r="AP121" s="201"/>
      <c r="AQ121" s="201"/>
    </row>
    <row r="122" ht="15.75" customHeight="1">
      <c r="A122" s="273" t="s">
        <v>260</v>
      </c>
      <c r="B122" s="250" t="s">
        <v>261</v>
      </c>
      <c r="C122" s="251" t="s">
        <v>262</v>
      </c>
      <c r="D122" s="122"/>
      <c r="E122" s="122"/>
      <c r="F122" s="252"/>
      <c r="G122" s="253" t="s">
        <v>58</v>
      </c>
      <c r="H122" s="274" t="s">
        <v>0</v>
      </c>
      <c r="I122" s="315"/>
      <c r="J122" s="256">
        <f>IFERROR(VLOOKUP(H122,Criteria!B:L,7,0),IFERROR(VLOOKUP(H122,Criteria!C:M,7,0),IFERROR(VLOOKUP(H122,Criteria!D:N,7,0),IFERROR(VLOOKUP(H122,Criteria!E:O,7,0),IFERROR(VLOOKUP(H122,Criteria!F:P,7,0),NA())))))</f>
        <v>0</v>
      </c>
      <c r="K122" s="305"/>
      <c r="L122" s="321">
        <v>0.0</v>
      </c>
      <c r="M122" s="322">
        <v>1.0</v>
      </c>
      <c r="N122" s="318">
        <f t="shared" si="51"/>
        <v>3</v>
      </c>
      <c r="O122" s="319">
        <f t="shared" si="52"/>
        <v>4</v>
      </c>
      <c r="P122" s="347"/>
      <c r="Q122" s="347">
        <v>2.0</v>
      </c>
      <c r="R122" s="313"/>
      <c r="S122" s="313"/>
      <c r="T122" s="314"/>
      <c r="U122" s="260"/>
      <c r="V122" s="261"/>
      <c r="W122" s="261"/>
      <c r="X122" s="181"/>
      <c r="Y122" s="181"/>
      <c r="Z122" s="218"/>
      <c r="AA122" s="201"/>
      <c r="AB122" s="201"/>
      <c r="AC122" s="201"/>
      <c r="AD122" s="201"/>
      <c r="AE122" s="201"/>
      <c r="AF122" s="201"/>
      <c r="AG122" s="201"/>
      <c r="AH122" s="201"/>
      <c r="AI122" s="201"/>
      <c r="AJ122" s="201"/>
      <c r="AK122" s="201"/>
      <c r="AL122" s="201"/>
      <c r="AM122" s="201"/>
      <c r="AN122" s="201"/>
      <c r="AO122" s="201"/>
      <c r="AP122" s="201"/>
      <c r="AQ122" s="201"/>
    </row>
    <row r="123" ht="15.75" customHeight="1">
      <c r="A123" s="273" t="s">
        <v>263</v>
      </c>
      <c r="B123" s="250" t="s">
        <v>264</v>
      </c>
      <c r="C123" s="251" t="s">
        <v>265</v>
      </c>
      <c r="D123" s="122"/>
      <c r="E123" s="122"/>
      <c r="F123" s="252"/>
      <c r="G123" s="253" t="s">
        <v>61</v>
      </c>
      <c r="H123" s="348" t="s">
        <v>4</v>
      </c>
      <c r="I123" s="349"/>
      <c r="J123" s="256">
        <f>IFERROR(VLOOKUP(H123,Criteria!B:L,7,0),IFERROR(VLOOKUP(H123,Criteria!C:M,7,0),IFERROR(VLOOKUP(H123,Criteria!D:N,7,0),IFERROR(VLOOKUP(H123,Criteria!E:O,7,0),IFERROR(VLOOKUP(H123,Criteria!F:P,7,0),NA())))))</f>
        <v>4</v>
      </c>
      <c r="K123" s="350"/>
      <c r="L123" s="316">
        <f>1</f>
        <v>1</v>
      </c>
      <c r="M123" s="317">
        <f>2</f>
        <v>2</v>
      </c>
      <c r="N123" s="318">
        <f t="shared" si="51"/>
        <v>3</v>
      </c>
      <c r="O123" s="319">
        <f t="shared" si="52"/>
        <v>4</v>
      </c>
      <c r="P123" s="347"/>
      <c r="Q123" s="347">
        <v>2.0</v>
      </c>
      <c r="R123" s="313"/>
      <c r="S123" s="313"/>
      <c r="T123" s="314"/>
      <c r="U123" s="260"/>
      <c r="V123" s="261"/>
      <c r="W123" s="261"/>
      <c r="X123" s="181"/>
      <c r="Y123" s="181"/>
      <c r="Z123" s="218"/>
      <c r="AA123" s="201"/>
      <c r="AB123" s="201"/>
      <c r="AC123" s="201"/>
      <c r="AD123" s="201"/>
      <c r="AE123" s="201"/>
      <c r="AF123" s="201"/>
      <c r="AG123" s="201"/>
      <c r="AH123" s="201"/>
      <c r="AI123" s="201"/>
      <c r="AJ123" s="201"/>
      <c r="AK123" s="201"/>
      <c r="AL123" s="201"/>
      <c r="AM123" s="201"/>
      <c r="AN123" s="201"/>
      <c r="AO123" s="201"/>
      <c r="AP123" s="201"/>
      <c r="AQ123" s="201"/>
    </row>
    <row r="124" ht="15.75" customHeight="1">
      <c r="A124" s="351"/>
      <c r="B124" s="210"/>
      <c r="C124" s="210"/>
      <c r="D124" s="210"/>
      <c r="E124" s="352"/>
      <c r="F124" s="352"/>
      <c r="G124" s="353"/>
      <c r="H124" s="283"/>
      <c r="I124" s="268"/>
      <c r="J124" s="320"/>
      <c r="K124" s="354"/>
      <c r="L124" s="355"/>
      <c r="M124" s="355"/>
      <c r="N124" s="355"/>
      <c r="O124" s="355"/>
      <c r="P124" s="356"/>
      <c r="Q124" s="356"/>
      <c r="R124" s="201"/>
      <c r="S124" s="201"/>
      <c r="T124" s="218"/>
      <c r="U124" s="357"/>
      <c r="V124" s="358"/>
      <c r="W124" s="358"/>
      <c r="X124" s="182"/>
      <c r="Y124" s="182"/>
      <c r="Z124" s="218"/>
      <c r="AA124" s="201"/>
      <c r="AB124" s="201"/>
      <c r="AC124" s="201"/>
      <c r="AD124" s="201"/>
      <c r="AE124" s="201"/>
      <c r="AF124" s="201"/>
      <c r="AG124" s="201"/>
      <c r="AH124" s="201"/>
      <c r="AI124" s="201"/>
      <c r="AJ124" s="201"/>
      <c r="AK124" s="201"/>
      <c r="AL124" s="201"/>
      <c r="AM124" s="201"/>
      <c r="AN124" s="201"/>
      <c r="AO124" s="201"/>
      <c r="AP124" s="201"/>
      <c r="AQ124" s="201"/>
    </row>
    <row r="125" ht="15.75" customHeight="1">
      <c r="A125" s="351">
        <v>9.0</v>
      </c>
      <c r="B125" s="359" t="s">
        <v>52</v>
      </c>
      <c r="C125" s="24"/>
      <c r="D125" s="24"/>
      <c r="E125" s="25"/>
      <c r="F125" s="352"/>
      <c r="G125" s="353"/>
      <c r="H125" s="360"/>
      <c r="I125" s="360"/>
      <c r="J125" s="361">
        <f>AVERAGEIF(J127:J134,"&gt;= 0")</f>
        <v>1</v>
      </c>
      <c r="K125" s="354"/>
      <c r="L125" s="362">
        <f t="shared" ref="L125:O125" si="53">AVERAGEIF(L127:L134,"&gt;= 0")</f>
        <v>0.75</v>
      </c>
      <c r="M125" s="362">
        <f t="shared" si="53"/>
        <v>1.75</v>
      </c>
      <c r="N125" s="362">
        <f t="shared" si="53"/>
        <v>2.875</v>
      </c>
      <c r="O125" s="362">
        <f t="shared" si="53"/>
        <v>3.875</v>
      </c>
      <c r="P125" s="320"/>
      <c r="Q125" s="320">
        <f>AVERAGEIF(Q127:Q135,"&gt;= 0")</f>
        <v>1.75</v>
      </c>
      <c r="R125" s="201"/>
      <c r="S125" s="201"/>
      <c r="T125" s="218"/>
      <c r="U125" s="357"/>
      <c r="V125" s="358"/>
      <c r="W125" s="358"/>
      <c r="X125" s="182"/>
      <c r="Y125" s="182"/>
      <c r="Z125" s="218"/>
      <c r="AA125" s="201"/>
      <c r="AB125" s="201"/>
      <c r="AC125" s="201"/>
      <c r="AD125" s="201"/>
      <c r="AE125" s="201"/>
      <c r="AF125" s="201"/>
      <c r="AG125" s="201"/>
      <c r="AH125" s="201"/>
      <c r="AI125" s="201"/>
      <c r="AJ125" s="201"/>
      <c r="AK125" s="201"/>
      <c r="AL125" s="201"/>
      <c r="AM125" s="201"/>
      <c r="AN125" s="201"/>
      <c r="AO125" s="201"/>
      <c r="AP125" s="201"/>
      <c r="AQ125" s="201"/>
    </row>
    <row r="126" ht="17.25" customHeight="1" outlineLevel="1">
      <c r="A126" s="237"/>
      <c r="B126" s="4"/>
      <c r="C126" s="4"/>
      <c r="D126" s="4"/>
      <c r="E126" s="4"/>
      <c r="F126" s="4"/>
      <c r="G126" s="241"/>
      <c r="H126" s="4"/>
      <c r="I126" s="242"/>
      <c r="J126" s="243"/>
      <c r="K126" s="305"/>
      <c r="L126" s="244"/>
      <c r="M126" s="244"/>
      <c r="N126" s="244"/>
      <c r="O126" s="244"/>
      <c r="P126" s="345"/>
      <c r="Q126" s="345"/>
      <c r="R126" s="246"/>
      <c r="S126" s="246"/>
      <c r="T126" s="363"/>
      <c r="U126" s="260"/>
      <c r="V126" s="261"/>
      <c r="W126" s="261"/>
      <c r="X126" s="181"/>
      <c r="Y126" s="181"/>
      <c r="Z126" s="218"/>
      <c r="AA126" s="210"/>
      <c r="AB126" s="210"/>
      <c r="AC126" s="210"/>
      <c r="AD126" s="210"/>
      <c r="AE126" s="210"/>
      <c r="AF126" s="210"/>
      <c r="AG126" s="210"/>
      <c r="AH126" s="210"/>
      <c r="AI126" s="210"/>
      <c r="AJ126" s="210"/>
      <c r="AK126" s="210"/>
      <c r="AL126" s="210"/>
      <c r="AM126" s="210"/>
      <c r="AN126" s="210"/>
      <c r="AO126" s="210"/>
      <c r="AP126" s="210"/>
      <c r="AQ126" s="210"/>
    </row>
    <row r="127" ht="15.75" customHeight="1">
      <c r="A127" s="273" t="s">
        <v>266</v>
      </c>
      <c r="B127" s="250" t="s">
        <v>267</v>
      </c>
      <c r="C127" s="251" t="s">
        <v>268</v>
      </c>
      <c r="D127" s="122"/>
      <c r="E127" s="122"/>
      <c r="F127" s="252"/>
      <c r="G127" s="253" t="s">
        <v>58</v>
      </c>
      <c r="H127" s="274" t="s">
        <v>2</v>
      </c>
      <c r="I127" s="315"/>
      <c r="J127" s="256">
        <f>IFERROR(VLOOKUP(H127,Criteria!B:L,7,0),IFERROR(VLOOKUP(H127,Criteria!C:M,7,0),IFERROR(VLOOKUP(H127,Criteria!D:N,7,0),IFERROR(VLOOKUP(H127,Criteria!E:O,7,0),IFERROR(VLOOKUP(H127,Criteria!F:P,7,0),NA())))))</f>
        <v>2</v>
      </c>
      <c r="K127" s="305"/>
      <c r="L127" s="316">
        <f>1</f>
        <v>1</v>
      </c>
      <c r="M127" s="317">
        <f t="shared" ref="M127:M129" si="54">2</f>
        <v>2</v>
      </c>
      <c r="N127" s="318">
        <f t="shared" ref="N127:N132" si="55">3</f>
        <v>3</v>
      </c>
      <c r="O127" s="319">
        <f t="shared" ref="O127:O132" si="56">4</f>
        <v>4</v>
      </c>
      <c r="P127" s="346"/>
      <c r="Q127" s="346">
        <v>3.0</v>
      </c>
      <c r="R127" s="313"/>
      <c r="S127" s="313"/>
      <c r="T127" s="314"/>
      <c r="U127" s="260"/>
      <c r="V127" s="261"/>
      <c r="W127" s="261"/>
      <c r="X127" s="181"/>
      <c r="Y127" s="181"/>
      <c r="Z127" s="218"/>
      <c r="AA127" s="201"/>
      <c r="AB127" s="201"/>
      <c r="AC127" s="201"/>
      <c r="AD127" s="201"/>
      <c r="AE127" s="201"/>
      <c r="AF127" s="201"/>
      <c r="AG127" s="201"/>
      <c r="AH127" s="201"/>
      <c r="AI127" s="201"/>
      <c r="AJ127" s="201"/>
      <c r="AK127" s="201"/>
      <c r="AL127" s="201"/>
      <c r="AM127" s="201"/>
      <c r="AN127" s="201"/>
      <c r="AO127" s="201"/>
      <c r="AP127" s="201"/>
      <c r="AQ127" s="201"/>
    </row>
    <row r="128" ht="15.75" customHeight="1">
      <c r="A128" s="273" t="s">
        <v>269</v>
      </c>
      <c r="B128" s="250" t="s">
        <v>270</v>
      </c>
      <c r="C128" s="251" t="s">
        <v>271</v>
      </c>
      <c r="D128" s="122"/>
      <c r="E128" s="122"/>
      <c r="F128" s="252"/>
      <c r="G128" s="253" t="s">
        <v>58</v>
      </c>
      <c r="H128" s="274" t="s">
        <v>0</v>
      </c>
      <c r="I128" s="315"/>
      <c r="J128" s="256">
        <f>IFERROR(VLOOKUP(H128,Criteria!B:L,7,0),IFERROR(VLOOKUP(H128,Criteria!C:M,7,0),IFERROR(VLOOKUP(H128,Criteria!D:N,7,0),IFERROR(VLOOKUP(H128,Criteria!E:O,7,0),IFERROR(VLOOKUP(H128,Criteria!F:P,7,0),NA())))))</f>
        <v>0</v>
      </c>
      <c r="K128" s="305"/>
      <c r="L128" s="321">
        <v>2.0</v>
      </c>
      <c r="M128" s="317">
        <f t="shared" si="54"/>
        <v>2</v>
      </c>
      <c r="N128" s="318">
        <f t="shared" si="55"/>
        <v>3</v>
      </c>
      <c r="O128" s="319">
        <f t="shared" si="56"/>
        <v>4</v>
      </c>
      <c r="P128" s="347"/>
      <c r="Q128" s="347">
        <v>1.0</v>
      </c>
      <c r="R128" s="313"/>
      <c r="S128" s="313"/>
      <c r="T128" s="314"/>
      <c r="U128" s="260"/>
      <c r="V128" s="261"/>
      <c r="W128" s="261"/>
      <c r="X128" s="181"/>
      <c r="Y128" s="181"/>
      <c r="Z128" s="218"/>
      <c r="AA128" s="201"/>
      <c r="AB128" s="201"/>
      <c r="AC128" s="201"/>
      <c r="AD128" s="201"/>
      <c r="AE128" s="201"/>
      <c r="AF128" s="201"/>
      <c r="AG128" s="201"/>
      <c r="AH128" s="201"/>
      <c r="AI128" s="201"/>
      <c r="AJ128" s="201"/>
      <c r="AK128" s="201"/>
      <c r="AL128" s="201"/>
      <c r="AM128" s="201"/>
      <c r="AN128" s="201"/>
      <c r="AO128" s="201"/>
      <c r="AP128" s="201"/>
      <c r="AQ128" s="201"/>
    </row>
    <row r="129" ht="15.75" customHeight="1">
      <c r="A129" s="273" t="s">
        <v>272</v>
      </c>
      <c r="B129" s="250" t="s">
        <v>273</v>
      </c>
      <c r="C129" s="251" t="s">
        <v>274</v>
      </c>
      <c r="D129" s="122"/>
      <c r="E129" s="122"/>
      <c r="F129" s="252"/>
      <c r="G129" s="253" t="s">
        <v>58</v>
      </c>
      <c r="H129" s="274" t="s">
        <v>1</v>
      </c>
      <c r="I129" s="315"/>
      <c r="J129" s="256">
        <f>IFERROR(VLOOKUP(H129,Criteria!B:L,7,0),IFERROR(VLOOKUP(H129,Criteria!C:M,7,0),IFERROR(VLOOKUP(H129,Criteria!D:N,7,0),IFERROR(VLOOKUP(H129,Criteria!E:O,7,0),IFERROR(VLOOKUP(H129,Criteria!F:P,7,0),NA())))))</f>
        <v>1</v>
      </c>
      <c r="K129" s="305"/>
      <c r="L129" s="316">
        <f>1</f>
        <v>1</v>
      </c>
      <c r="M129" s="317">
        <f t="shared" si="54"/>
        <v>2</v>
      </c>
      <c r="N129" s="318">
        <f t="shared" si="55"/>
        <v>3</v>
      </c>
      <c r="O129" s="319">
        <f t="shared" si="56"/>
        <v>4</v>
      </c>
      <c r="P129" s="347"/>
      <c r="Q129" s="347">
        <v>1.0</v>
      </c>
      <c r="R129" s="313"/>
      <c r="S129" s="313"/>
      <c r="T129" s="314"/>
      <c r="U129" s="260"/>
      <c r="V129" s="261"/>
      <c r="W129" s="261"/>
      <c r="X129" s="181"/>
      <c r="Y129" s="181"/>
      <c r="Z129" s="218"/>
      <c r="AA129" s="201"/>
      <c r="AB129" s="201"/>
      <c r="AC129" s="201"/>
      <c r="AD129" s="201"/>
      <c r="AE129" s="201"/>
      <c r="AF129" s="201"/>
      <c r="AG129" s="201"/>
      <c r="AH129" s="201"/>
      <c r="AI129" s="201"/>
      <c r="AJ129" s="201"/>
      <c r="AK129" s="201"/>
      <c r="AL129" s="201"/>
      <c r="AM129" s="201"/>
      <c r="AN129" s="201"/>
      <c r="AO129" s="201"/>
      <c r="AP129" s="201"/>
      <c r="AQ129" s="201"/>
    </row>
    <row r="130" ht="15.75" customHeight="1">
      <c r="A130" s="273" t="s">
        <v>275</v>
      </c>
      <c r="B130" s="250" t="s">
        <v>276</v>
      </c>
      <c r="C130" s="251" t="s">
        <v>277</v>
      </c>
      <c r="D130" s="122"/>
      <c r="E130" s="122"/>
      <c r="F130" s="252"/>
      <c r="G130" s="253" t="s">
        <v>60</v>
      </c>
      <c r="H130" s="274" t="s">
        <v>2</v>
      </c>
      <c r="I130" s="315"/>
      <c r="J130" s="256">
        <f>IFERROR(VLOOKUP(H130,Criteria!B:L,7,0),IFERROR(VLOOKUP(H130,Criteria!C:M,7,0),IFERROR(VLOOKUP(H130,Criteria!D:N,7,0),IFERROR(VLOOKUP(H130,Criteria!E:O,7,0),IFERROR(VLOOKUP(H130,Criteria!F:P,7,0),NA())))))</f>
        <v>2</v>
      </c>
      <c r="K130" s="305"/>
      <c r="L130" s="321">
        <v>0.0</v>
      </c>
      <c r="M130" s="322">
        <v>2.0</v>
      </c>
      <c r="N130" s="318">
        <f t="shared" si="55"/>
        <v>3</v>
      </c>
      <c r="O130" s="319">
        <f t="shared" si="56"/>
        <v>4</v>
      </c>
      <c r="P130" s="346"/>
      <c r="Q130" s="346">
        <v>3.0</v>
      </c>
      <c r="R130" s="313"/>
      <c r="S130" s="313"/>
      <c r="T130" s="314"/>
      <c r="U130" s="260"/>
      <c r="V130" s="261"/>
      <c r="W130" s="261"/>
      <c r="X130" s="181"/>
      <c r="Y130" s="181"/>
      <c r="Z130" s="218"/>
      <c r="AA130" s="201"/>
      <c r="AB130" s="201"/>
      <c r="AC130" s="201"/>
      <c r="AD130" s="201"/>
      <c r="AE130" s="201"/>
      <c r="AF130" s="201"/>
      <c r="AG130" s="201"/>
      <c r="AH130" s="201"/>
      <c r="AI130" s="201"/>
      <c r="AJ130" s="201"/>
      <c r="AK130" s="201"/>
      <c r="AL130" s="201"/>
      <c r="AM130" s="201"/>
      <c r="AN130" s="201"/>
      <c r="AO130" s="201"/>
      <c r="AP130" s="201"/>
      <c r="AQ130" s="201"/>
    </row>
    <row r="131" ht="15.75" customHeight="1">
      <c r="A131" s="273" t="s">
        <v>278</v>
      </c>
      <c r="B131" s="250" t="s">
        <v>279</v>
      </c>
      <c r="C131" s="251" t="s">
        <v>280</v>
      </c>
      <c r="D131" s="122"/>
      <c r="E131" s="122"/>
      <c r="F131" s="252"/>
      <c r="G131" s="253" t="s">
        <v>62</v>
      </c>
      <c r="H131" s="274" t="s">
        <v>0</v>
      </c>
      <c r="I131" s="315"/>
      <c r="J131" s="256">
        <f>IFERROR(VLOOKUP(H131,Criteria!B:L,7,0),IFERROR(VLOOKUP(H131,Criteria!C:M,7,0),IFERROR(VLOOKUP(H131,Criteria!D:N,7,0),IFERROR(VLOOKUP(H131,Criteria!E:O,7,0),IFERROR(VLOOKUP(H131,Criteria!F:P,7,0),NA())))))</f>
        <v>0</v>
      </c>
      <c r="K131" s="305"/>
      <c r="L131" s="316">
        <f>1</f>
        <v>1</v>
      </c>
      <c r="M131" s="317">
        <f>2</f>
        <v>2</v>
      </c>
      <c r="N131" s="318">
        <f t="shared" si="55"/>
        <v>3</v>
      </c>
      <c r="O131" s="319">
        <f t="shared" si="56"/>
        <v>4</v>
      </c>
      <c r="P131" s="347"/>
      <c r="Q131" s="347">
        <v>1.0</v>
      </c>
      <c r="R131" s="313"/>
      <c r="S131" s="313"/>
      <c r="T131" s="314"/>
      <c r="U131" s="260"/>
      <c r="V131" s="261"/>
      <c r="W131" s="261"/>
      <c r="X131" s="181"/>
      <c r="Y131" s="181"/>
      <c r="Z131" s="218"/>
      <c r="AA131" s="201"/>
      <c r="AB131" s="201"/>
      <c r="AC131" s="201"/>
      <c r="AD131" s="201"/>
      <c r="AE131" s="201"/>
      <c r="AF131" s="201"/>
      <c r="AG131" s="201"/>
      <c r="AH131" s="201"/>
      <c r="AI131" s="201"/>
      <c r="AJ131" s="201"/>
      <c r="AK131" s="201"/>
      <c r="AL131" s="201"/>
      <c r="AM131" s="201"/>
      <c r="AN131" s="201"/>
      <c r="AO131" s="201"/>
      <c r="AP131" s="201"/>
      <c r="AQ131" s="201"/>
    </row>
    <row r="132" ht="15.75" customHeight="1">
      <c r="A132" s="273" t="s">
        <v>281</v>
      </c>
      <c r="B132" s="250" t="s">
        <v>282</v>
      </c>
      <c r="C132" s="251" t="s">
        <v>283</v>
      </c>
      <c r="D132" s="122"/>
      <c r="E132" s="122"/>
      <c r="F132" s="252"/>
      <c r="G132" s="253" t="s">
        <v>62</v>
      </c>
      <c r="H132" s="274" t="s">
        <v>3</v>
      </c>
      <c r="I132" s="315"/>
      <c r="J132" s="256">
        <f>IFERROR(VLOOKUP(H132,Criteria!B:L,7,0),IFERROR(VLOOKUP(H132,Criteria!C:M,7,0),IFERROR(VLOOKUP(H132,Criteria!D:N,7,0),IFERROR(VLOOKUP(H132,Criteria!E:O,7,0),IFERROR(VLOOKUP(H132,Criteria!F:P,7,0),NA())))))</f>
        <v>3</v>
      </c>
      <c r="K132" s="305"/>
      <c r="L132" s="321">
        <v>0.0</v>
      </c>
      <c r="M132" s="322">
        <v>1.0</v>
      </c>
      <c r="N132" s="318">
        <f t="shared" si="55"/>
        <v>3</v>
      </c>
      <c r="O132" s="319">
        <f t="shared" si="56"/>
        <v>4</v>
      </c>
      <c r="P132" s="347"/>
      <c r="Q132" s="347">
        <v>3.0</v>
      </c>
      <c r="R132" s="313"/>
      <c r="S132" s="313"/>
      <c r="T132" s="314"/>
      <c r="U132" s="260"/>
      <c r="V132" s="261"/>
      <c r="W132" s="261"/>
      <c r="X132" s="181"/>
      <c r="Y132" s="181"/>
      <c r="Z132" s="218"/>
      <c r="AA132" s="201"/>
      <c r="AB132" s="201"/>
      <c r="AC132" s="201"/>
      <c r="AD132" s="201"/>
      <c r="AE132" s="201"/>
      <c r="AF132" s="201"/>
      <c r="AG132" s="201"/>
      <c r="AH132" s="201"/>
      <c r="AI132" s="201"/>
      <c r="AJ132" s="201"/>
      <c r="AK132" s="201"/>
      <c r="AL132" s="201"/>
      <c r="AM132" s="201"/>
      <c r="AN132" s="201"/>
      <c r="AO132" s="201"/>
      <c r="AP132" s="201"/>
      <c r="AQ132" s="201"/>
    </row>
    <row r="133" ht="15.75" customHeight="1">
      <c r="A133" s="273" t="s">
        <v>284</v>
      </c>
      <c r="B133" s="250" t="s">
        <v>285</v>
      </c>
      <c r="C133" s="251" t="s">
        <v>286</v>
      </c>
      <c r="D133" s="122"/>
      <c r="E133" s="122"/>
      <c r="F133" s="252"/>
      <c r="G133" s="253" t="s">
        <v>56</v>
      </c>
      <c r="H133" s="274" t="s">
        <v>0</v>
      </c>
      <c r="I133" s="315"/>
      <c r="J133" s="256">
        <f>IFERROR(VLOOKUP(H133,Criteria!B:L,7,0),IFERROR(VLOOKUP(H133,Criteria!C:M,7,0),IFERROR(VLOOKUP(H133,Criteria!D:N,7,0),IFERROR(VLOOKUP(H133,Criteria!E:O,7,0),IFERROR(VLOOKUP(H133,Criteria!F:P,7,0),NA())))))</f>
        <v>0</v>
      </c>
      <c r="K133" s="305"/>
      <c r="L133" s="321">
        <v>0.0</v>
      </c>
      <c r="M133" s="322">
        <v>1.0</v>
      </c>
      <c r="N133" s="323">
        <v>2.0</v>
      </c>
      <c r="O133" s="364">
        <v>3.0</v>
      </c>
      <c r="P133" s="347"/>
      <c r="Q133" s="347">
        <v>1.0</v>
      </c>
      <c r="R133" s="313"/>
      <c r="S133" s="313"/>
      <c r="T133" s="314"/>
      <c r="U133" s="260"/>
      <c r="V133" s="261"/>
      <c r="W133" s="261"/>
      <c r="X133" s="181"/>
      <c r="Y133" s="181"/>
      <c r="Z133" s="218"/>
      <c r="AA133" s="201"/>
      <c r="AB133" s="201"/>
      <c r="AC133" s="201"/>
      <c r="AD133" s="201"/>
      <c r="AE133" s="201"/>
      <c r="AF133" s="201"/>
      <c r="AG133" s="201"/>
      <c r="AH133" s="201"/>
      <c r="AI133" s="201"/>
      <c r="AJ133" s="201"/>
      <c r="AK133" s="201"/>
      <c r="AL133" s="201"/>
      <c r="AM133" s="201"/>
      <c r="AN133" s="201"/>
      <c r="AO133" s="201"/>
      <c r="AP133" s="201"/>
      <c r="AQ133" s="201"/>
    </row>
    <row r="134" ht="15.75" customHeight="1">
      <c r="A134" s="273" t="s">
        <v>287</v>
      </c>
      <c r="B134" s="250" t="s">
        <v>288</v>
      </c>
      <c r="C134" s="251" t="s">
        <v>289</v>
      </c>
      <c r="D134" s="122"/>
      <c r="E134" s="122"/>
      <c r="F134" s="252"/>
      <c r="G134" s="253" t="s">
        <v>60</v>
      </c>
      <c r="H134" s="348" t="s">
        <v>0</v>
      </c>
      <c r="I134" s="349"/>
      <c r="J134" s="256">
        <f>IFERROR(VLOOKUP(H134,Criteria!B:L,7,0),IFERROR(VLOOKUP(H134,Criteria!C:M,7,0),IFERROR(VLOOKUP(H134,Criteria!D:N,7,0),IFERROR(VLOOKUP(H134,Criteria!E:O,7,0),IFERROR(VLOOKUP(H134,Criteria!F:P,7,0),NA())))))</f>
        <v>0</v>
      </c>
      <c r="K134" s="350"/>
      <c r="L134" s="316">
        <f>1</f>
        <v>1</v>
      </c>
      <c r="M134" s="317">
        <f>2</f>
        <v>2</v>
      </c>
      <c r="N134" s="318">
        <f>3</f>
        <v>3</v>
      </c>
      <c r="O134" s="319">
        <f>4</f>
        <v>4</v>
      </c>
      <c r="P134" s="347"/>
      <c r="Q134" s="347">
        <v>1.0</v>
      </c>
      <c r="R134" s="313"/>
      <c r="S134" s="313"/>
      <c r="T134" s="314"/>
      <c r="U134" s="260"/>
      <c r="V134" s="261"/>
      <c r="W134" s="261"/>
      <c r="X134" s="181"/>
      <c r="Y134" s="181"/>
      <c r="Z134" s="218"/>
      <c r="AA134" s="201"/>
      <c r="AB134" s="201"/>
      <c r="AC134" s="201"/>
      <c r="AD134" s="201"/>
      <c r="AE134" s="201"/>
      <c r="AF134" s="201"/>
      <c r="AG134" s="201"/>
      <c r="AH134" s="201"/>
      <c r="AI134" s="201"/>
      <c r="AJ134" s="201"/>
      <c r="AK134" s="201"/>
      <c r="AL134" s="201"/>
      <c r="AM134" s="201"/>
      <c r="AN134" s="201"/>
      <c r="AO134" s="201"/>
      <c r="AP134" s="201"/>
      <c r="AQ134" s="201"/>
    </row>
    <row r="135" ht="15.75" customHeight="1">
      <c r="A135" s="351"/>
      <c r="B135" s="210"/>
      <c r="C135" s="210"/>
      <c r="D135" s="210"/>
      <c r="E135" s="352"/>
      <c r="F135" s="352"/>
      <c r="G135" s="353"/>
      <c r="H135" s="283"/>
      <c r="I135" s="268"/>
      <c r="J135" s="320"/>
      <c r="K135" s="354"/>
      <c r="L135" s="320"/>
      <c r="M135" s="320"/>
      <c r="N135" s="320"/>
      <c r="O135" s="320"/>
      <c r="P135" s="356"/>
      <c r="Q135" s="356"/>
      <c r="R135" s="201"/>
      <c r="S135" s="201"/>
      <c r="T135" s="218"/>
      <c r="U135" s="357"/>
      <c r="V135" s="358"/>
      <c r="W135" s="358"/>
      <c r="X135" s="182"/>
      <c r="Y135" s="182"/>
      <c r="Z135" s="218"/>
      <c r="AA135" s="201"/>
      <c r="AB135" s="201"/>
      <c r="AC135" s="201"/>
      <c r="AD135" s="201"/>
      <c r="AE135" s="201"/>
      <c r="AF135" s="201"/>
      <c r="AG135" s="201"/>
      <c r="AH135" s="201"/>
      <c r="AI135" s="201"/>
      <c r="AJ135" s="201"/>
      <c r="AK135" s="201"/>
      <c r="AL135" s="201"/>
      <c r="AM135" s="201"/>
      <c r="AN135" s="201"/>
      <c r="AO135" s="201"/>
      <c r="AP135" s="201"/>
      <c r="AQ135" s="201"/>
    </row>
    <row r="136" ht="15.75" customHeight="1">
      <c r="A136" s="351"/>
      <c r="B136" s="210"/>
      <c r="C136" s="352"/>
      <c r="D136" s="352"/>
      <c r="E136" s="352"/>
      <c r="F136" s="352"/>
      <c r="G136" s="353"/>
      <c r="H136" s="283"/>
      <c r="I136" s="268"/>
      <c r="J136" s="320"/>
      <c r="K136" s="354"/>
      <c r="L136" s="320"/>
      <c r="M136" s="320"/>
      <c r="N136" s="320"/>
      <c r="O136" s="320"/>
      <c r="P136" s="356"/>
      <c r="Q136" s="356"/>
      <c r="R136" s="164"/>
      <c r="S136" s="164"/>
      <c r="T136" s="218"/>
      <c r="U136" s="357"/>
      <c r="V136" s="358"/>
      <c r="W136" s="358"/>
      <c r="X136" s="182"/>
      <c r="Y136" s="182"/>
      <c r="Z136" s="218"/>
      <c r="AA136" s="365"/>
      <c r="AB136" s="365"/>
      <c r="AC136" s="365"/>
      <c r="AD136" s="365"/>
      <c r="AE136" s="365"/>
      <c r="AF136" s="365"/>
      <c r="AG136" s="365"/>
      <c r="AH136" s="365"/>
      <c r="AI136" s="365"/>
      <c r="AJ136" s="365"/>
      <c r="AK136" s="365"/>
      <c r="AL136" s="365"/>
      <c r="AM136" s="365"/>
      <c r="AN136" s="365"/>
      <c r="AO136" s="365"/>
      <c r="AP136" s="365"/>
      <c r="AQ136" s="365"/>
    </row>
    <row r="137" ht="15.75" customHeight="1">
      <c r="A137" s="351"/>
      <c r="B137" s="210"/>
      <c r="C137" s="352"/>
      <c r="D137" s="352"/>
      <c r="E137" s="352"/>
      <c r="F137" s="352"/>
      <c r="G137" s="353"/>
      <c r="H137" s="283"/>
      <c r="I137" s="268"/>
      <c r="J137" s="320"/>
      <c r="K137" s="354"/>
      <c r="L137" s="320"/>
      <c r="M137" s="320"/>
      <c r="N137" s="320"/>
      <c r="O137" s="320"/>
      <c r="P137" s="356"/>
      <c r="Q137" s="356"/>
      <c r="R137" s="164"/>
      <c r="S137" s="164"/>
      <c r="T137" s="218"/>
      <c r="U137" s="357"/>
      <c r="V137" s="358"/>
      <c r="W137" s="358"/>
      <c r="X137" s="182"/>
      <c r="Y137" s="182"/>
      <c r="Z137" s="218"/>
      <c r="AA137" s="365"/>
      <c r="AB137" s="365"/>
      <c r="AC137" s="365"/>
      <c r="AD137" s="365"/>
      <c r="AE137" s="365"/>
      <c r="AF137" s="365"/>
      <c r="AG137" s="365"/>
      <c r="AH137" s="365"/>
      <c r="AI137" s="365"/>
      <c r="AJ137" s="365"/>
      <c r="AK137" s="365"/>
      <c r="AL137" s="365"/>
      <c r="AM137" s="365"/>
      <c r="AN137" s="365"/>
      <c r="AO137" s="365"/>
      <c r="AP137" s="365"/>
      <c r="AQ137" s="365"/>
    </row>
    <row r="138" ht="15.75" customHeight="1">
      <c r="A138" s="351"/>
      <c r="B138" s="165"/>
      <c r="C138" s="352"/>
      <c r="D138" s="352"/>
      <c r="E138" s="352"/>
      <c r="F138" s="352"/>
      <c r="G138" s="353"/>
      <c r="H138" s="283"/>
      <c r="I138" s="268"/>
      <c r="J138" s="320"/>
      <c r="K138" s="354"/>
      <c r="L138" s="320"/>
      <c r="M138" s="320"/>
      <c r="N138" s="320"/>
      <c r="O138" s="320"/>
      <c r="P138" s="356"/>
      <c r="Q138" s="356"/>
      <c r="R138" s="164"/>
      <c r="S138" s="164"/>
      <c r="T138" s="218"/>
      <c r="U138" s="357"/>
      <c r="V138" s="358"/>
      <c r="W138" s="358"/>
      <c r="X138" s="182"/>
      <c r="Y138" s="182"/>
      <c r="Z138" s="218"/>
      <c r="AA138" s="365"/>
      <c r="AB138" s="365"/>
      <c r="AC138" s="365"/>
      <c r="AD138" s="365"/>
      <c r="AE138" s="365"/>
      <c r="AF138" s="365"/>
      <c r="AG138" s="365"/>
      <c r="AH138" s="365"/>
      <c r="AI138" s="365"/>
      <c r="AJ138" s="365"/>
      <c r="AK138" s="365"/>
      <c r="AL138" s="365"/>
      <c r="AM138" s="365"/>
      <c r="AN138" s="365"/>
      <c r="AO138" s="365"/>
      <c r="AP138" s="365"/>
      <c r="AQ138" s="365"/>
    </row>
    <row r="139" ht="15.75" customHeight="1">
      <c r="A139" s="351"/>
      <c r="B139" s="165"/>
      <c r="C139" s="352"/>
      <c r="D139" s="352"/>
      <c r="E139" s="352"/>
      <c r="F139" s="352"/>
      <c r="G139" s="353"/>
      <c r="H139" s="283"/>
      <c r="I139" s="268"/>
      <c r="J139" s="320"/>
      <c r="K139" s="354"/>
      <c r="L139" s="320"/>
      <c r="M139" s="320"/>
      <c r="N139" s="320"/>
      <c r="O139" s="320"/>
      <c r="P139" s="356"/>
      <c r="Q139" s="356"/>
      <c r="R139" s="164"/>
      <c r="S139" s="164"/>
      <c r="T139" s="218"/>
      <c r="U139" s="357"/>
      <c r="V139" s="358"/>
      <c r="W139" s="358"/>
      <c r="X139" s="182"/>
      <c r="Y139" s="182"/>
      <c r="Z139" s="218"/>
      <c r="AA139" s="365"/>
      <c r="AB139" s="365"/>
      <c r="AC139" s="365"/>
      <c r="AD139" s="365"/>
      <c r="AE139" s="365"/>
      <c r="AF139" s="365"/>
      <c r="AG139" s="365"/>
      <c r="AH139" s="365"/>
      <c r="AI139" s="365"/>
      <c r="AJ139" s="365"/>
      <c r="AK139" s="365"/>
      <c r="AL139" s="365"/>
      <c r="AM139" s="365"/>
      <c r="AN139" s="365"/>
      <c r="AO139" s="365"/>
      <c r="AP139" s="365"/>
      <c r="AQ139" s="365"/>
    </row>
    <row r="140" ht="15.75" customHeight="1">
      <c r="A140" s="351"/>
      <c r="B140" s="165"/>
      <c r="C140" s="352"/>
      <c r="D140" s="352"/>
      <c r="E140" s="352"/>
      <c r="F140" s="352"/>
      <c r="G140" s="353"/>
      <c r="H140" s="283"/>
      <c r="I140" s="268"/>
      <c r="J140" s="320"/>
      <c r="K140" s="354"/>
      <c r="L140" s="320"/>
      <c r="M140" s="320"/>
      <c r="N140" s="320"/>
      <c r="O140" s="320"/>
      <c r="P140" s="356"/>
      <c r="Q140" s="356"/>
      <c r="R140" s="164"/>
      <c r="S140" s="164"/>
      <c r="T140" s="218"/>
      <c r="U140" s="357"/>
      <c r="V140" s="358"/>
      <c r="W140" s="358"/>
      <c r="X140" s="182"/>
      <c r="Y140" s="182"/>
      <c r="Z140" s="218"/>
      <c r="AA140" s="365"/>
      <c r="AB140" s="365"/>
      <c r="AC140" s="365"/>
      <c r="AD140" s="365"/>
      <c r="AE140" s="365"/>
      <c r="AF140" s="365"/>
      <c r="AG140" s="365"/>
      <c r="AH140" s="365"/>
      <c r="AI140" s="365"/>
      <c r="AJ140" s="365"/>
      <c r="AK140" s="365"/>
      <c r="AL140" s="365"/>
      <c r="AM140" s="365"/>
      <c r="AN140" s="365"/>
      <c r="AO140" s="365"/>
      <c r="AP140" s="365"/>
      <c r="AQ140" s="365"/>
    </row>
    <row r="141" ht="15.75" customHeight="1">
      <c r="A141" s="351"/>
      <c r="B141" s="165"/>
      <c r="C141" s="352"/>
      <c r="D141" s="352"/>
      <c r="E141" s="352"/>
      <c r="F141" s="352"/>
      <c r="G141" s="353"/>
      <c r="H141" s="283"/>
      <c r="I141" s="268"/>
      <c r="J141" s="320"/>
      <c r="K141" s="354"/>
      <c r="L141" s="215"/>
      <c r="M141" s="215"/>
      <c r="N141" s="215"/>
      <c r="O141" s="215"/>
      <c r="P141" s="268"/>
      <c r="Q141" s="268"/>
      <c r="R141" s="164"/>
      <c r="S141" s="164"/>
      <c r="T141" s="218"/>
      <c r="U141" s="357"/>
      <c r="V141" s="358"/>
      <c r="W141" s="358"/>
      <c r="X141" s="182"/>
      <c r="Y141" s="182"/>
      <c r="Z141" s="218"/>
      <c r="AA141" s="365"/>
      <c r="AB141" s="365"/>
      <c r="AC141" s="365"/>
      <c r="AD141" s="365"/>
      <c r="AE141" s="365"/>
      <c r="AF141" s="365"/>
      <c r="AG141" s="365"/>
      <c r="AH141" s="365"/>
      <c r="AI141" s="365"/>
      <c r="AJ141" s="365"/>
      <c r="AK141" s="365"/>
      <c r="AL141" s="365"/>
      <c r="AM141" s="365"/>
      <c r="AN141" s="365"/>
      <c r="AO141" s="365"/>
      <c r="AP141" s="365"/>
      <c r="AQ141" s="365"/>
    </row>
    <row r="142" ht="15.75" customHeight="1">
      <c r="A142" s="351"/>
      <c r="B142" s="165"/>
      <c r="C142" s="352"/>
      <c r="D142" s="352"/>
      <c r="E142" s="352"/>
      <c r="F142" s="352"/>
      <c r="G142" s="353"/>
      <c r="H142" s="283"/>
      <c r="I142" s="268"/>
      <c r="J142" s="320"/>
      <c r="K142" s="354"/>
      <c r="L142" s="215"/>
      <c r="M142" s="215"/>
      <c r="N142" s="215"/>
      <c r="O142" s="215"/>
      <c r="P142" s="268"/>
      <c r="Q142" s="268"/>
      <c r="R142" s="164"/>
      <c r="S142" s="164"/>
      <c r="T142" s="218"/>
      <c r="U142" s="357"/>
      <c r="V142" s="358"/>
      <c r="W142" s="358"/>
      <c r="X142" s="182"/>
      <c r="Y142" s="182"/>
      <c r="Z142" s="218"/>
      <c r="AA142" s="365"/>
      <c r="AB142" s="365"/>
      <c r="AC142" s="365"/>
      <c r="AD142" s="365"/>
      <c r="AE142" s="365"/>
      <c r="AF142" s="365"/>
      <c r="AG142" s="365"/>
      <c r="AH142" s="365"/>
      <c r="AI142" s="365"/>
      <c r="AJ142" s="365"/>
      <c r="AK142" s="365"/>
      <c r="AL142" s="365"/>
      <c r="AM142" s="365"/>
      <c r="AN142" s="365"/>
      <c r="AO142" s="365"/>
      <c r="AP142" s="365"/>
      <c r="AQ142" s="365"/>
    </row>
    <row r="143" ht="15.75" customHeight="1">
      <c r="A143" s="351"/>
      <c r="B143" s="165"/>
      <c r="C143" s="352"/>
      <c r="D143" s="352"/>
      <c r="E143" s="352"/>
      <c r="F143" s="352"/>
      <c r="G143" s="353"/>
      <c r="H143" s="283"/>
      <c r="I143" s="268"/>
      <c r="J143" s="320"/>
      <c r="K143" s="354"/>
      <c r="L143" s="215"/>
      <c r="M143" s="215"/>
      <c r="N143" s="215"/>
      <c r="O143" s="215"/>
      <c r="P143" s="268"/>
      <c r="Q143" s="268"/>
      <c r="R143" s="164"/>
      <c r="S143" s="164"/>
      <c r="T143" s="218"/>
      <c r="U143" s="357"/>
      <c r="V143" s="358"/>
      <c r="W143" s="358"/>
      <c r="X143" s="182"/>
      <c r="Y143" s="182"/>
      <c r="Z143" s="218"/>
      <c r="AA143" s="365"/>
      <c r="AB143" s="365"/>
      <c r="AC143" s="365"/>
      <c r="AD143" s="365"/>
      <c r="AE143" s="365"/>
      <c r="AF143" s="365"/>
      <c r="AG143" s="365"/>
      <c r="AH143" s="365"/>
      <c r="AI143" s="365"/>
      <c r="AJ143" s="365"/>
      <c r="AK143" s="365"/>
      <c r="AL143" s="365"/>
      <c r="AM143" s="365"/>
      <c r="AN143" s="365"/>
      <c r="AO143" s="365"/>
      <c r="AP143" s="365"/>
      <c r="AQ143" s="365"/>
    </row>
    <row r="144" ht="15.75" customHeight="1">
      <c r="A144" s="351"/>
      <c r="B144" s="165"/>
      <c r="C144" s="352"/>
      <c r="D144" s="352"/>
      <c r="E144" s="352"/>
      <c r="F144" s="352"/>
      <c r="G144" s="353"/>
      <c r="H144" s="283"/>
      <c r="I144" s="268"/>
      <c r="J144" s="320"/>
      <c r="K144" s="354"/>
      <c r="L144" s="215"/>
      <c r="M144" s="215"/>
      <c r="N144" s="215"/>
      <c r="O144" s="215"/>
      <c r="P144" s="268"/>
      <c r="Q144" s="268"/>
      <c r="R144" s="164"/>
      <c r="S144" s="164"/>
      <c r="T144" s="218"/>
      <c r="U144" s="357"/>
      <c r="V144" s="358"/>
      <c r="W144" s="358"/>
      <c r="X144" s="182"/>
      <c r="Y144" s="182"/>
      <c r="Z144" s="218"/>
      <c r="AA144" s="365"/>
      <c r="AB144" s="365"/>
      <c r="AC144" s="365"/>
      <c r="AD144" s="365"/>
      <c r="AE144" s="365"/>
      <c r="AF144" s="365"/>
      <c r="AG144" s="365"/>
      <c r="AH144" s="365"/>
      <c r="AI144" s="365"/>
      <c r="AJ144" s="365"/>
      <c r="AK144" s="365"/>
      <c r="AL144" s="365"/>
      <c r="AM144" s="365"/>
      <c r="AN144" s="365"/>
      <c r="AO144" s="365"/>
      <c r="AP144" s="365"/>
      <c r="AQ144" s="365"/>
    </row>
    <row r="145" ht="15.75" customHeight="1">
      <c r="A145" s="351"/>
      <c r="B145" s="165"/>
      <c r="C145" s="352"/>
      <c r="D145" s="352"/>
      <c r="E145" s="352"/>
      <c r="F145" s="352"/>
      <c r="G145" s="353"/>
      <c r="H145" s="283"/>
      <c r="I145" s="268"/>
      <c r="J145" s="320"/>
      <c r="K145" s="354"/>
      <c r="L145" s="215"/>
      <c r="M145" s="215"/>
      <c r="N145" s="215"/>
      <c r="O145" s="215"/>
      <c r="P145" s="164"/>
      <c r="Q145" s="164"/>
      <c r="R145" s="164"/>
      <c r="S145" s="164"/>
      <c r="T145" s="218"/>
      <c r="U145" s="357"/>
      <c r="V145" s="358"/>
      <c r="W145" s="358"/>
      <c r="X145" s="182"/>
      <c r="Y145" s="182"/>
      <c r="Z145" s="218"/>
      <c r="AA145" s="365"/>
      <c r="AB145" s="365"/>
      <c r="AC145" s="365"/>
      <c r="AD145" s="365"/>
      <c r="AE145" s="365"/>
      <c r="AF145" s="365"/>
      <c r="AG145" s="365"/>
      <c r="AH145" s="365"/>
      <c r="AI145" s="365"/>
      <c r="AJ145" s="365"/>
      <c r="AK145" s="365"/>
      <c r="AL145" s="365"/>
      <c r="AM145" s="365"/>
      <c r="AN145" s="365"/>
      <c r="AO145" s="365"/>
      <c r="AP145" s="365"/>
      <c r="AQ145" s="365"/>
    </row>
    <row r="146" ht="15.75" customHeight="1">
      <c r="A146" s="351"/>
      <c r="B146" s="165"/>
      <c r="C146" s="352"/>
      <c r="D146" s="352"/>
      <c r="E146" s="352"/>
      <c r="F146" s="352"/>
      <c r="G146" s="353"/>
      <c r="H146" s="283"/>
      <c r="I146" s="268"/>
      <c r="J146" s="320"/>
      <c r="K146" s="354"/>
      <c r="L146" s="215"/>
      <c r="M146" s="215"/>
      <c r="N146" s="215"/>
      <c r="O146" s="215"/>
      <c r="P146" s="164"/>
      <c r="Q146" s="164"/>
      <c r="R146" s="164"/>
      <c r="S146" s="164"/>
      <c r="T146" s="218"/>
      <c r="U146" s="357"/>
      <c r="V146" s="358"/>
      <c r="W146" s="358"/>
      <c r="X146" s="182"/>
      <c r="Y146" s="182"/>
      <c r="Z146" s="218"/>
      <c r="AA146" s="365"/>
      <c r="AB146" s="365"/>
      <c r="AC146" s="365"/>
      <c r="AD146" s="365"/>
      <c r="AE146" s="365"/>
      <c r="AF146" s="365"/>
      <c r="AG146" s="365"/>
      <c r="AH146" s="365"/>
      <c r="AI146" s="365"/>
      <c r="AJ146" s="365"/>
      <c r="AK146" s="365"/>
      <c r="AL146" s="365"/>
      <c r="AM146" s="365"/>
      <c r="AN146" s="365"/>
      <c r="AO146" s="365"/>
      <c r="AP146" s="365"/>
      <c r="AQ146" s="365"/>
    </row>
    <row r="147" ht="15.75" customHeight="1">
      <c r="A147" s="351"/>
      <c r="B147" s="165"/>
      <c r="C147" s="352"/>
      <c r="D147" s="352"/>
      <c r="E147" s="352"/>
      <c r="F147" s="352"/>
      <c r="G147" s="353"/>
      <c r="H147" s="283"/>
      <c r="I147" s="268"/>
      <c r="J147" s="320"/>
      <c r="K147" s="354"/>
      <c r="L147" s="215"/>
      <c r="M147" s="215"/>
      <c r="N147" s="215"/>
      <c r="O147" s="215"/>
      <c r="P147" s="164"/>
      <c r="Q147" s="164"/>
      <c r="R147" s="164"/>
      <c r="S147" s="164"/>
      <c r="T147" s="218"/>
      <c r="U147" s="357"/>
      <c r="V147" s="358"/>
      <c r="W147" s="358"/>
      <c r="X147" s="182"/>
      <c r="Y147" s="182"/>
      <c r="Z147" s="218"/>
      <c r="AA147" s="365"/>
      <c r="AB147" s="365"/>
      <c r="AC147" s="365"/>
      <c r="AD147" s="365"/>
      <c r="AE147" s="365"/>
      <c r="AF147" s="365"/>
      <c r="AG147" s="365"/>
      <c r="AH147" s="365"/>
      <c r="AI147" s="365"/>
      <c r="AJ147" s="365"/>
      <c r="AK147" s="365"/>
      <c r="AL147" s="365"/>
      <c r="AM147" s="365"/>
      <c r="AN147" s="365"/>
      <c r="AO147" s="365"/>
      <c r="AP147" s="365"/>
      <c r="AQ147" s="365"/>
    </row>
    <row r="148" ht="15.75" customHeight="1">
      <c r="A148" s="351"/>
      <c r="B148" s="165"/>
      <c r="C148" s="352"/>
      <c r="D148" s="352"/>
      <c r="E148" s="352"/>
      <c r="F148" s="352"/>
      <c r="G148" s="353"/>
      <c r="H148" s="283"/>
      <c r="I148" s="268"/>
      <c r="J148" s="320"/>
      <c r="K148" s="354"/>
      <c r="L148" s="215"/>
      <c r="M148" s="215"/>
      <c r="N148" s="215"/>
      <c r="O148" s="215"/>
      <c r="P148" s="164"/>
      <c r="Q148" s="164"/>
      <c r="R148" s="164"/>
      <c r="S148" s="164"/>
      <c r="T148" s="218"/>
      <c r="U148" s="357"/>
      <c r="V148" s="358"/>
      <c r="W148" s="358"/>
      <c r="X148" s="182"/>
      <c r="Y148" s="182"/>
      <c r="Z148" s="218"/>
      <c r="AA148" s="365"/>
      <c r="AB148" s="365"/>
      <c r="AC148" s="365"/>
      <c r="AD148" s="365"/>
      <c r="AE148" s="365"/>
      <c r="AF148" s="365"/>
      <c r="AG148" s="365"/>
      <c r="AH148" s="365"/>
      <c r="AI148" s="365"/>
      <c r="AJ148" s="365"/>
      <c r="AK148" s="365"/>
      <c r="AL148" s="365"/>
      <c r="AM148" s="365"/>
      <c r="AN148" s="365"/>
      <c r="AO148" s="365"/>
      <c r="AP148" s="365"/>
      <c r="AQ148" s="365"/>
    </row>
    <row r="149" ht="15.75" customHeight="1">
      <c r="A149" s="351"/>
      <c r="B149" s="165"/>
      <c r="C149" s="352"/>
      <c r="D149" s="352"/>
      <c r="E149" s="352"/>
      <c r="F149" s="352"/>
      <c r="G149" s="353"/>
      <c r="H149" s="283"/>
      <c r="I149" s="268"/>
      <c r="J149" s="320"/>
      <c r="K149" s="354"/>
      <c r="L149" s="215"/>
      <c r="M149" s="215"/>
      <c r="N149" s="215"/>
      <c r="O149" s="215"/>
      <c r="P149" s="164"/>
      <c r="Q149" s="164"/>
      <c r="R149" s="164"/>
      <c r="S149" s="164"/>
      <c r="T149" s="218"/>
      <c r="U149" s="357"/>
      <c r="V149" s="358"/>
      <c r="W149" s="358"/>
      <c r="X149" s="182"/>
      <c r="Y149" s="182"/>
      <c r="Z149" s="218"/>
      <c r="AA149" s="365"/>
      <c r="AB149" s="365"/>
      <c r="AC149" s="365"/>
      <c r="AD149" s="365"/>
      <c r="AE149" s="365"/>
      <c r="AF149" s="365"/>
      <c r="AG149" s="365"/>
      <c r="AH149" s="365"/>
      <c r="AI149" s="365"/>
      <c r="AJ149" s="365"/>
      <c r="AK149" s="365"/>
      <c r="AL149" s="365"/>
      <c r="AM149" s="365"/>
      <c r="AN149" s="365"/>
      <c r="AO149" s="365"/>
      <c r="AP149" s="365"/>
      <c r="AQ149" s="365"/>
    </row>
    <row r="150" ht="15.75" customHeight="1">
      <c r="A150" s="351"/>
      <c r="B150" s="165"/>
      <c r="C150" s="352"/>
      <c r="D150" s="352"/>
      <c r="E150" s="352"/>
      <c r="F150" s="352"/>
      <c r="G150" s="353"/>
      <c r="H150" s="283"/>
      <c r="I150" s="268"/>
      <c r="J150" s="320"/>
      <c r="K150" s="354"/>
      <c r="L150" s="215"/>
      <c r="M150" s="215"/>
      <c r="N150" s="215"/>
      <c r="O150" s="215"/>
      <c r="P150" s="164"/>
      <c r="Q150" s="164"/>
      <c r="R150" s="164"/>
      <c r="S150" s="164"/>
      <c r="T150" s="218"/>
      <c r="U150" s="357"/>
      <c r="V150" s="358"/>
      <c r="W150" s="358"/>
      <c r="X150" s="182"/>
      <c r="Y150" s="182"/>
      <c r="Z150" s="218"/>
      <c r="AA150" s="365"/>
      <c r="AB150" s="365"/>
      <c r="AC150" s="365"/>
      <c r="AD150" s="365"/>
      <c r="AE150" s="365"/>
      <c r="AF150" s="365"/>
      <c r="AG150" s="365"/>
      <c r="AH150" s="365"/>
      <c r="AI150" s="365"/>
      <c r="AJ150" s="365"/>
      <c r="AK150" s="365"/>
      <c r="AL150" s="365"/>
      <c r="AM150" s="365"/>
      <c r="AN150" s="365"/>
      <c r="AO150" s="365"/>
      <c r="AP150" s="365"/>
      <c r="AQ150" s="365"/>
    </row>
    <row r="151" ht="15.75" customHeight="1">
      <c r="A151" s="308"/>
      <c r="C151" s="366"/>
      <c r="D151" s="366"/>
      <c r="E151" s="366"/>
      <c r="F151" s="367"/>
      <c r="G151" s="337"/>
      <c r="H151" s="338"/>
      <c r="I151" s="339"/>
      <c r="J151" s="340"/>
      <c r="K151" s="305"/>
      <c r="L151" s="368"/>
      <c r="M151" s="368"/>
      <c r="N151" s="368"/>
      <c r="O151" s="368"/>
      <c r="P151" s="369"/>
      <c r="Q151" s="369"/>
      <c r="R151" s="369"/>
      <c r="S151" s="369"/>
      <c r="T151" s="314"/>
      <c r="U151" s="260"/>
      <c r="V151" s="261"/>
      <c r="W151" s="261"/>
      <c r="X151" s="181"/>
      <c r="Y151" s="181"/>
      <c r="Z151" s="218"/>
      <c r="AA151" s="365"/>
      <c r="AB151" s="365"/>
      <c r="AC151" s="365"/>
      <c r="AD151" s="365"/>
      <c r="AE151" s="365"/>
      <c r="AF151" s="365"/>
      <c r="AG151" s="365"/>
      <c r="AH151" s="365"/>
      <c r="AI151" s="365"/>
      <c r="AJ151" s="365"/>
      <c r="AK151" s="365"/>
      <c r="AL151" s="365"/>
      <c r="AM151" s="365"/>
      <c r="AN151" s="365"/>
      <c r="AO151" s="365"/>
      <c r="AP151" s="365"/>
      <c r="AQ151" s="365"/>
    </row>
    <row r="152" ht="15.75" customHeight="1">
      <c r="A152" s="308"/>
      <c r="C152" s="366"/>
      <c r="D152" s="366"/>
      <c r="E152" s="366"/>
      <c r="F152" s="367"/>
      <c r="G152" s="337"/>
      <c r="H152" s="338"/>
      <c r="I152" s="339"/>
      <c r="J152" s="340"/>
      <c r="K152" s="305"/>
      <c r="L152" s="368"/>
      <c r="M152" s="368"/>
      <c r="N152" s="368"/>
      <c r="O152" s="368"/>
      <c r="P152" s="369"/>
      <c r="Q152" s="369"/>
      <c r="R152" s="369"/>
      <c r="S152" s="369"/>
      <c r="T152" s="314"/>
      <c r="U152" s="260"/>
      <c r="V152" s="261"/>
      <c r="W152" s="261"/>
      <c r="X152" s="181"/>
      <c r="Y152" s="181"/>
      <c r="Z152" s="218"/>
      <c r="AA152" s="365"/>
      <c r="AB152" s="365"/>
      <c r="AC152" s="365"/>
      <c r="AD152" s="365"/>
      <c r="AE152" s="365"/>
      <c r="AF152" s="365"/>
      <c r="AG152" s="365"/>
      <c r="AH152" s="365"/>
      <c r="AI152" s="365"/>
      <c r="AJ152" s="365"/>
      <c r="AK152" s="365"/>
      <c r="AL152" s="365"/>
      <c r="AM152" s="365"/>
      <c r="AN152" s="365"/>
      <c r="AO152" s="365"/>
      <c r="AP152" s="365"/>
      <c r="AQ152" s="365"/>
    </row>
    <row r="153" ht="15.75" customHeight="1">
      <c r="A153" s="308"/>
      <c r="C153" s="366"/>
      <c r="D153" s="366"/>
      <c r="E153" s="366"/>
      <c r="F153" s="367"/>
      <c r="G153" s="337"/>
      <c r="H153" s="338"/>
      <c r="I153" s="339"/>
      <c r="J153" s="340"/>
      <c r="K153" s="305"/>
      <c r="L153" s="368"/>
      <c r="M153" s="368"/>
      <c r="N153" s="368"/>
      <c r="O153" s="368"/>
      <c r="P153" s="369"/>
      <c r="Q153" s="369"/>
      <c r="R153" s="369"/>
      <c r="S153" s="369"/>
      <c r="T153" s="314"/>
      <c r="U153" s="260"/>
      <c r="V153" s="261"/>
      <c r="W153" s="261"/>
      <c r="X153" s="181"/>
      <c r="Y153" s="181"/>
      <c r="Z153" s="218"/>
      <c r="AA153" s="365"/>
      <c r="AB153" s="365"/>
      <c r="AC153" s="365"/>
      <c r="AD153" s="365"/>
      <c r="AE153" s="365"/>
      <c r="AF153" s="365"/>
      <c r="AG153" s="365"/>
      <c r="AH153" s="365"/>
      <c r="AI153" s="365"/>
      <c r="AJ153" s="365"/>
      <c r="AK153" s="365"/>
      <c r="AL153" s="365"/>
      <c r="AM153" s="365"/>
      <c r="AN153" s="365"/>
      <c r="AO153" s="365"/>
      <c r="AP153" s="365"/>
      <c r="AQ153" s="365"/>
    </row>
    <row r="154" ht="15.75" customHeight="1">
      <c r="A154" s="308"/>
      <c r="C154" s="366"/>
      <c r="D154" s="366"/>
      <c r="E154" s="366"/>
      <c r="F154" s="367"/>
      <c r="G154" s="337"/>
      <c r="H154" s="338"/>
      <c r="I154" s="339"/>
      <c r="J154" s="340"/>
      <c r="K154" s="305"/>
      <c r="L154" s="368"/>
      <c r="M154" s="368"/>
      <c r="N154" s="368"/>
      <c r="O154" s="368"/>
      <c r="P154" s="369"/>
      <c r="Q154" s="369"/>
      <c r="R154" s="369"/>
      <c r="S154" s="369"/>
      <c r="T154" s="314"/>
      <c r="U154" s="260"/>
      <c r="V154" s="261"/>
      <c r="W154" s="261"/>
      <c r="X154" s="181"/>
      <c r="Y154" s="181"/>
      <c r="Z154" s="218"/>
      <c r="AA154" s="365"/>
      <c r="AB154" s="365"/>
      <c r="AC154" s="365"/>
      <c r="AD154" s="365"/>
      <c r="AE154" s="365"/>
      <c r="AF154" s="365"/>
      <c r="AG154" s="365"/>
      <c r="AH154" s="365"/>
      <c r="AI154" s="365"/>
      <c r="AJ154" s="365"/>
      <c r="AK154" s="365"/>
      <c r="AL154" s="365"/>
      <c r="AM154" s="365"/>
      <c r="AN154" s="365"/>
      <c r="AO154" s="365"/>
      <c r="AP154" s="365"/>
      <c r="AQ154" s="365"/>
    </row>
    <row r="155" ht="15.75" customHeight="1">
      <c r="A155" s="308"/>
      <c r="C155" s="366"/>
      <c r="D155" s="366"/>
      <c r="E155" s="366"/>
      <c r="F155" s="367"/>
      <c r="G155" s="337"/>
      <c r="H155" s="338"/>
      <c r="I155" s="339"/>
      <c r="J155" s="340"/>
      <c r="K155" s="305"/>
      <c r="L155" s="368"/>
      <c r="M155" s="368"/>
      <c r="N155" s="368"/>
      <c r="O155" s="368"/>
      <c r="P155" s="369"/>
      <c r="Q155" s="369"/>
      <c r="R155" s="369"/>
      <c r="S155" s="369"/>
      <c r="T155" s="314"/>
      <c r="U155" s="260"/>
      <c r="V155" s="261"/>
      <c r="W155" s="261"/>
      <c r="X155" s="181"/>
      <c r="Y155" s="181"/>
      <c r="Z155" s="218"/>
      <c r="AA155" s="365"/>
      <c r="AB155" s="365"/>
      <c r="AC155" s="365"/>
      <c r="AD155" s="365"/>
      <c r="AE155" s="365"/>
      <c r="AF155" s="365"/>
      <c r="AG155" s="365"/>
      <c r="AH155" s="365"/>
      <c r="AI155" s="365"/>
      <c r="AJ155" s="365"/>
      <c r="AK155" s="365"/>
      <c r="AL155" s="365"/>
      <c r="AM155" s="365"/>
      <c r="AN155" s="365"/>
      <c r="AO155" s="365"/>
      <c r="AP155" s="365"/>
      <c r="AQ155" s="365"/>
    </row>
    <row r="156" ht="15.75" customHeight="1">
      <c r="A156" s="308"/>
      <c r="C156" s="366"/>
      <c r="D156" s="366"/>
      <c r="E156" s="366"/>
      <c r="F156" s="367"/>
      <c r="G156" s="337"/>
      <c r="H156" s="338"/>
      <c r="I156" s="339"/>
      <c r="J156" s="340"/>
      <c r="K156" s="370"/>
      <c r="L156" s="368"/>
      <c r="M156" s="368"/>
      <c r="N156" s="368"/>
      <c r="O156" s="368"/>
      <c r="P156" s="369"/>
      <c r="Q156" s="369"/>
      <c r="R156" s="369"/>
      <c r="S156" s="369"/>
      <c r="T156" s="314"/>
      <c r="U156" s="260"/>
      <c r="V156" s="261"/>
      <c r="W156" s="261"/>
      <c r="X156" s="181"/>
      <c r="Y156" s="181"/>
      <c r="Z156" s="218"/>
      <c r="AA156" s="365"/>
      <c r="AB156" s="365"/>
      <c r="AC156" s="365"/>
      <c r="AD156" s="365"/>
      <c r="AE156" s="365"/>
      <c r="AF156" s="365"/>
      <c r="AG156" s="365"/>
      <c r="AH156" s="365"/>
      <c r="AI156" s="365"/>
      <c r="AJ156" s="365"/>
      <c r="AK156" s="365"/>
      <c r="AL156" s="365"/>
      <c r="AM156" s="365"/>
      <c r="AN156" s="365"/>
      <c r="AO156" s="365"/>
      <c r="AP156" s="365"/>
      <c r="AQ156" s="365"/>
    </row>
    <row r="157" ht="15.75" customHeight="1">
      <c r="A157" s="308"/>
      <c r="C157" s="366"/>
      <c r="D157" s="366"/>
      <c r="E157" s="366"/>
      <c r="F157" s="367"/>
      <c r="G157" s="337"/>
      <c r="H157" s="338"/>
      <c r="I157" s="339"/>
      <c r="J157" s="340"/>
      <c r="K157" s="370"/>
      <c r="L157" s="368"/>
      <c r="M157" s="368"/>
      <c r="N157" s="368"/>
      <c r="O157" s="368"/>
      <c r="P157" s="369"/>
      <c r="Q157" s="369"/>
      <c r="R157" s="369"/>
      <c r="S157" s="369"/>
      <c r="T157" s="314"/>
      <c r="U157" s="260"/>
      <c r="V157" s="261"/>
      <c r="W157" s="261"/>
      <c r="X157" s="181"/>
      <c r="Y157" s="181"/>
      <c r="Z157" s="218"/>
      <c r="AA157" s="365"/>
      <c r="AB157" s="365"/>
      <c r="AC157" s="365"/>
      <c r="AD157" s="365"/>
      <c r="AE157" s="365"/>
      <c r="AF157" s="365"/>
      <c r="AG157" s="365"/>
      <c r="AH157" s="365"/>
      <c r="AI157" s="365"/>
      <c r="AJ157" s="365"/>
      <c r="AK157" s="365"/>
      <c r="AL157" s="365"/>
      <c r="AM157" s="365"/>
      <c r="AN157" s="365"/>
      <c r="AO157" s="365"/>
      <c r="AP157" s="365"/>
      <c r="AQ157" s="365"/>
    </row>
    <row r="158" ht="15.75" customHeight="1">
      <c r="A158" s="308"/>
      <c r="C158" s="366"/>
      <c r="D158" s="366"/>
      <c r="E158" s="366"/>
      <c r="F158" s="367"/>
      <c r="G158" s="337"/>
      <c r="H158" s="338"/>
      <c r="I158" s="339"/>
      <c r="J158" s="340"/>
      <c r="K158" s="370"/>
      <c r="L158" s="368"/>
      <c r="M158" s="368"/>
      <c r="N158" s="368"/>
      <c r="O158" s="368"/>
      <c r="P158" s="369"/>
      <c r="Q158" s="369"/>
      <c r="R158" s="369"/>
      <c r="S158" s="369"/>
      <c r="T158" s="314"/>
      <c r="U158" s="260"/>
      <c r="V158" s="261"/>
      <c r="W158" s="261"/>
      <c r="X158" s="181"/>
      <c r="Y158" s="181"/>
      <c r="Z158" s="218"/>
      <c r="AA158" s="365"/>
      <c r="AB158" s="365"/>
      <c r="AC158" s="365"/>
      <c r="AD158" s="365"/>
      <c r="AE158" s="365"/>
      <c r="AF158" s="365"/>
      <c r="AG158" s="365"/>
      <c r="AH158" s="365"/>
      <c r="AI158" s="365"/>
      <c r="AJ158" s="365"/>
      <c r="AK158" s="365"/>
      <c r="AL158" s="365"/>
      <c r="AM158" s="365"/>
      <c r="AN158" s="365"/>
      <c r="AO158" s="365"/>
      <c r="AP158" s="365"/>
      <c r="AQ158" s="365"/>
    </row>
    <row r="159" ht="15.75" customHeight="1">
      <c r="A159" s="308"/>
      <c r="C159" s="366"/>
      <c r="D159" s="366"/>
      <c r="E159" s="366"/>
      <c r="F159" s="367"/>
      <c r="G159" s="337"/>
      <c r="H159" s="338"/>
      <c r="I159" s="339"/>
      <c r="J159" s="340"/>
      <c r="K159" s="370"/>
      <c r="L159" s="368"/>
      <c r="M159" s="368"/>
      <c r="N159" s="368"/>
      <c r="O159" s="368"/>
      <c r="P159" s="369"/>
      <c r="Q159" s="369"/>
      <c r="R159" s="369"/>
      <c r="S159" s="369"/>
      <c r="T159" s="314"/>
      <c r="U159" s="260"/>
      <c r="V159" s="261"/>
      <c r="W159" s="261"/>
      <c r="X159" s="181"/>
      <c r="Y159" s="181"/>
      <c r="Z159" s="218"/>
      <c r="AA159" s="365"/>
      <c r="AB159" s="365"/>
      <c r="AC159" s="365"/>
      <c r="AD159" s="365"/>
      <c r="AE159" s="365"/>
      <c r="AF159" s="365"/>
      <c r="AG159" s="365"/>
      <c r="AH159" s="365"/>
      <c r="AI159" s="365"/>
      <c r="AJ159" s="365"/>
      <c r="AK159" s="365"/>
      <c r="AL159" s="365"/>
      <c r="AM159" s="365"/>
      <c r="AN159" s="365"/>
      <c r="AO159" s="365"/>
      <c r="AP159" s="365"/>
      <c r="AQ159" s="365"/>
    </row>
    <row r="160" ht="15.75" customHeight="1">
      <c r="A160" s="308"/>
      <c r="C160" s="366"/>
      <c r="D160" s="366"/>
      <c r="E160" s="366"/>
      <c r="F160" s="367"/>
      <c r="G160" s="337"/>
      <c r="H160" s="338"/>
      <c r="I160" s="339"/>
      <c r="J160" s="340"/>
      <c r="K160" s="370"/>
      <c r="L160" s="368"/>
      <c r="M160" s="368"/>
      <c r="N160" s="368"/>
      <c r="O160" s="368"/>
      <c r="P160" s="369"/>
      <c r="Q160" s="369"/>
      <c r="R160" s="369"/>
      <c r="S160" s="369"/>
      <c r="T160" s="314"/>
      <c r="U160" s="260"/>
      <c r="V160" s="261"/>
      <c r="W160" s="261"/>
      <c r="X160" s="181"/>
      <c r="Y160" s="181"/>
      <c r="Z160" s="218"/>
      <c r="AA160" s="365"/>
      <c r="AB160" s="365"/>
      <c r="AC160" s="365"/>
      <c r="AD160" s="365"/>
      <c r="AE160" s="365"/>
      <c r="AF160" s="365"/>
      <c r="AG160" s="365"/>
      <c r="AH160" s="365"/>
      <c r="AI160" s="365"/>
      <c r="AJ160" s="365"/>
      <c r="AK160" s="365"/>
      <c r="AL160" s="365"/>
      <c r="AM160" s="365"/>
      <c r="AN160" s="365"/>
      <c r="AO160" s="365"/>
      <c r="AP160" s="365"/>
      <c r="AQ160" s="365"/>
    </row>
    <row r="161" ht="15.75" customHeight="1">
      <c r="A161" s="308"/>
      <c r="C161" s="366"/>
      <c r="D161" s="366"/>
      <c r="E161" s="366"/>
      <c r="F161" s="367"/>
      <c r="G161" s="337"/>
      <c r="H161" s="338"/>
      <c r="I161" s="339"/>
      <c r="J161" s="340"/>
      <c r="K161" s="370"/>
      <c r="L161" s="368"/>
      <c r="M161" s="368"/>
      <c r="N161" s="368"/>
      <c r="O161" s="368"/>
      <c r="P161" s="369"/>
      <c r="Q161" s="369"/>
      <c r="R161" s="369"/>
      <c r="S161" s="369"/>
      <c r="T161" s="314"/>
      <c r="U161" s="260"/>
      <c r="V161" s="261"/>
      <c r="W161" s="261"/>
      <c r="X161" s="181"/>
      <c r="Y161" s="181"/>
      <c r="Z161" s="218"/>
      <c r="AA161" s="365"/>
      <c r="AB161" s="365"/>
      <c r="AC161" s="365"/>
      <c r="AD161" s="365"/>
      <c r="AE161" s="365"/>
      <c r="AF161" s="365"/>
      <c r="AG161" s="365"/>
      <c r="AH161" s="365"/>
      <c r="AI161" s="365"/>
      <c r="AJ161" s="365"/>
      <c r="AK161" s="365"/>
      <c r="AL161" s="365"/>
      <c r="AM161" s="365"/>
      <c r="AN161" s="365"/>
      <c r="AO161" s="365"/>
      <c r="AP161" s="365"/>
      <c r="AQ161" s="365"/>
    </row>
    <row r="162" ht="15.75" customHeight="1">
      <c r="A162" s="308"/>
      <c r="C162" s="343"/>
      <c r="D162" s="343"/>
      <c r="E162" s="343"/>
      <c r="F162" s="343"/>
      <c r="G162" s="337"/>
      <c r="H162" s="338"/>
      <c r="I162" s="339"/>
      <c r="J162" s="340"/>
      <c r="K162" s="370"/>
      <c r="L162" s="368"/>
      <c r="M162" s="368"/>
      <c r="N162" s="368"/>
      <c r="O162" s="368"/>
      <c r="P162" s="369"/>
      <c r="Q162" s="369"/>
      <c r="R162" s="369"/>
      <c r="S162" s="369"/>
      <c r="T162" s="314"/>
      <c r="U162" s="260"/>
      <c r="V162" s="261"/>
      <c r="W162" s="261"/>
      <c r="X162" s="181"/>
      <c r="Y162" s="181"/>
      <c r="Z162" s="218"/>
      <c r="AA162" s="365"/>
      <c r="AB162" s="365"/>
      <c r="AC162" s="365"/>
      <c r="AD162" s="365"/>
      <c r="AE162" s="365"/>
      <c r="AF162" s="365"/>
      <c r="AG162" s="365"/>
      <c r="AH162" s="365"/>
      <c r="AI162" s="365"/>
      <c r="AJ162" s="365"/>
      <c r="AK162" s="365"/>
      <c r="AL162" s="365"/>
      <c r="AM162" s="365"/>
      <c r="AN162" s="365"/>
      <c r="AO162" s="365"/>
      <c r="AP162" s="365"/>
      <c r="AQ162" s="365"/>
    </row>
    <row r="163" ht="15.75" customHeight="1">
      <c r="A163" s="308"/>
      <c r="C163" s="343"/>
      <c r="D163" s="343"/>
      <c r="E163" s="343"/>
      <c r="F163" s="343"/>
      <c r="G163" s="337"/>
      <c r="H163" s="338"/>
      <c r="I163" s="339"/>
      <c r="J163" s="340"/>
      <c r="K163" s="370"/>
      <c r="L163" s="368"/>
      <c r="M163" s="368"/>
      <c r="N163" s="368"/>
      <c r="O163" s="368"/>
      <c r="P163" s="369"/>
      <c r="Q163" s="369"/>
      <c r="R163" s="369"/>
      <c r="S163" s="369"/>
      <c r="T163" s="314"/>
      <c r="U163" s="260"/>
      <c r="V163" s="261"/>
      <c r="W163" s="261"/>
      <c r="X163" s="181"/>
      <c r="Y163" s="181"/>
      <c r="Z163" s="218"/>
      <c r="AA163" s="365"/>
      <c r="AB163" s="365"/>
      <c r="AC163" s="365"/>
      <c r="AD163" s="365"/>
      <c r="AE163" s="365"/>
      <c r="AF163" s="365"/>
      <c r="AG163" s="365"/>
      <c r="AH163" s="365"/>
      <c r="AI163" s="365"/>
      <c r="AJ163" s="365"/>
      <c r="AK163" s="365"/>
      <c r="AL163" s="365"/>
      <c r="AM163" s="365"/>
      <c r="AN163" s="365"/>
      <c r="AO163" s="365"/>
      <c r="AP163" s="365"/>
      <c r="AQ163" s="365"/>
    </row>
    <row r="164" ht="15.75" customHeight="1">
      <c r="A164" s="308"/>
      <c r="C164" s="343"/>
      <c r="D164" s="343"/>
      <c r="E164" s="343"/>
      <c r="F164" s="343"/>
      <c r="G164" s="337"/>
      <c r="H164" s="338"/>
      <c r="I164" s="339"/>
      <c r="J164" s="340"/>
      <c r="K164" s="370"/>
      <c r="L164" s="368"/>
      <c r="M164" s="368"/>
      <c r="N164" s="368"/>
      <c r="O164" s="368"/>
      <c r="P164" s="369"/>
      <c r="Q164" s="369"/>
      <c r="R164" s="369"/>
      <c r="S164" s="369"/>
      <c r="T164" s="314"/>
      <c r="U164" s="260"/>
      <c r="V164" s="261"/>
      <c r="W164" s="261"/>
      <c r="X164" s="181"/>
      <c r="Y164" s="181"/>
      <c r="Z164" s="218"/>
      <c r="AA164" s="365"/>
      <c r="AB164" s="365"/>
      <c r="AC164" s="365"/>
      <c r="AD164" s="365"/>
      <c r="AE164" s="365"/>
      <c r="AF164" s="365"/>
      <c r="AG164" s="365"/>
      <c r="AH164" s="365"/>
      <c r="AI164" s="365"/>
      <c r="AJ164" s="365"/>
      <c r="AK164" s="365"/>
      <c r="AL164" s="365"/>
      <c r="AM164" s="365"/>
      <c r="AN164" s="365"/>
      <c r="AO164" s="365"/>
      <c r="AP164" s="365"/>
      <c r="AQ164" s="365"/>
    </row>
    <row r="165" ht="15.75" customHeight="1">
      <c r="A165" s="308"/>
      <c r="C165" s="343"/>
      <c r="D165" s="343"/>
      <c r="E165" s="343"/>
      <c r="F165" s="343"/>
      <c r="G165" s="337"/>
      <c r="H165" s="338"/>
      <c r="I165" s="339"/>
      <c r="J165" s="340"/>
      <c r="K165" s="370"/>
      <c r="L165" s="368"/>
      <c r="M165" s="368"/>
      <c r="N165" s="368"/>
      <c r="O165" s="368"/>
      <c r="P165" s="369"/>
      <c r="Q165" s="369"/>
      <c r="R165" s="369"/>
      <c r="S165" s="369"/>
      <c r="T165" s="314"/>
      <c r="U165" s="260"/>
      <c r="V165" s="261"/>
      <c r="W165" s="261"/>
      <c r="X165" s="181"/>
      <c r="Y165" s="181"/>
      <c r="Z165" s="218"/>
      <c r="AA165" s="365"/>
      <c r="AB165" s="365"/>
      <c r="AC165" s="365"/>
      <c r="AD165" s="365"/>
      <c r="AE165" s="365"/>
      <c r="AF165" s="365"/>
      <c r="AG165" s="365"/>
      <c r="AH165" s="365"/>
      <c r="AI165" s="365"/>
      <c r="AJ165" s="365"/>
      <c r="AK165" s="365"/>
      <c r="AL165" s="365"/>
      <c r="AM165" s="365"/>
      <c r="AN165" s="365"/>
      <c r="AO165" s="365"/>
      <c r="AP165" s="365"/>
      <c r="AQ165" s="365"/>
    </row>
    <row r="166" ht="15.75" customHeight="1">
      <c r="A166" s="308"/>
      <c r="C166" s="343"/>
      <c r="D166" s="343"/>
      <c r="E166" s="343"/>
      <c r="F166" s="343"/>
      <c r="G166" s="337"/>
      <c r="H166" s="338"/>
      <c r="I166" s="339"/>
      <c r="J166" s="340"/>
      <c r="K166" s="370"/>
      <c r="L166" s="368"/>
      <c r="M166" s="368"/>
      <c r="N166" s="368"/>
      <c r="O166" s="368"/>
      <c r="P166" s="369"/>
      <c r="Q166" s="369"/>
      <c r="R166" s="369"/>
      <c r="S166" s="369"/>
      <c r="T166" s="314"/>
      <c r="U166" s="260"/>
      <c r="V166" s="261"/>
      <c r="W166" s="261"/>
      <c r="X166" s="181"/>
      <c r="Y166" s="181"/>
      <c r="Z166" s="218"/>
      <c r="AA166" s="365"/>
      <c r="AB166" s="365"/>
      <c r="AC166" s="365"/>
      <c r="AD166" s="365"/>
      <c r="AE166" s="365"/>
      <c r="AF166" s="365"/>
      <c r="AG166" s="365"/>
      <c r="AH166" s="365"/>
      <c r="AI166" s="365"/>
      <c r="AJ166" s="365"/>
      <c r="AK166" s="365"/>
      <c r="AL166" s="365"/>
      <c r="AM166" s="365"/>
      <c r="AN166" s="365"/>
      <c r="AO166" s="365"/>
      <c r="AP166" s="365"/>
      <c r="AQ166" s="365"/>
    </row>
    <row r="167" ht="15.75" customHeight="1">
      <c r="A167" s="308"/>
      <c r="C167" s="343"/>
      <c r="D167" s="343"/>
      <c r="E167" s="343"/>
      <c r="F167" s="343"/>
      <c r="G167" s="337"/>
      <c r="H167" s="338"/>
      <c r="I167" s="339"/>
      <c r="J167" s="370"/>
      <c r="K167" s="370"/>
      <c r="L167" s="368"/>
      <c r="M167" s="368"/>
      <c r="N167" s="368"/>
      <c r="O167" s="368"/>
      <c r="P167" s="369"/>
      <c r="Q167" s="369"/>
      <c r="R167" s="369"/>
      <c r="S167" s="369"/>
      <c r="T167" s="314"/>
      <c r="U167" s="260"/>
      <c r="V167" s="261"/>
      <c r="W167" s="261"/>
      <c r="X167" s="181"/>
      <c r="Y167" s="181"/>
      <c r="Z167" s="218"/>
      <c r="AA167" s="365"/>
      <c r="AB167" s="365"/>
      <c r="AC167" s="365"/>
      <c r="AD167" s="365"/>
      <c r="AE167" s="365"/>
      <c r="AF167" s="365"/>
      <c r="AG167" s="365"/>
      <c r="AH167" s="365"/>
      <c r="AI167" s="365"/>
      <c r="AJ167" s="365"/>
      <c r="AK167" s="365"/>
      <c r="AL167" s="365"/>
      <c r="AM167" s="365"/>
      <c r="AN167" s="365"/>
      <c r="AO167" s="365"/>
      <c r="AP167" s="365"/>
      <c r="AQ167" s="365"/>
    </row>
    <row r="168" ht="15.75" customHeight="1">
      <c r="A168" s="308"/>
      <c r="C168" s="343"/>
      <c r="D168" s="343"/>
      <c r="E168" s="343"/>
      <c r="F168" s="343"/>
      <c r="G168" s="337"/>
      <c r="H168" s="338"/>
      <c r="I168" s="339"/>
      <c r="J168" s="370"/>
      <c r="K168" s="370"/>
      <c r="L168" s="368"/>
      <c r="M168" s="368"/>
      <c r="N168" s="368"/>
      <c r="O168" s="368"/>
      <c r="P168" s="369"/>
      <c r="Q168" s="369"/>
      <c r="R168" s="369"/>
      <c r="S168" s="369"/>
      <c r="T168" s="314"/>
      <c r="U168" s="260"/>
      <c r="V168" s="261"/>
      <c r="W168" s="261"/>
      <c r="X168" s="181"/>
      <c r="Y168" s="181"/>
      <c r="Z168" s="218"/>
      <c r="AA168" s="365"/>
      <c r="AB168" s="365"/>
      <c r="AC168" s="365"/>
      <c r="AD168" s="365"/>
      <c r="AE168" s="365"/>
      <c r="AF168" s="365"/>
      <c r="AG168" s="365"/>
      <c r="AH168" s="365"/>
      <c r="AI168" s="365"/>
      <c r="AJ168" s="365"/>
      <c r="AK168" s="365"/>
      <c r="AL168" s="365"/>
      <c r="AM168" s="365"/>
      <c r="AN168" s="365"/>
      <c r="AO168" s="365"/>
      <c r="AP168" s="365"/>
      <c r="AQ168" s="365"/>
    </row>
    <row r="169" ht="15.75" customHeight="1">
      <c r="A169" s="308"/>
      <c r="C169" s="343"/>
      <c r="D169" s="343"/>
      <c r="E169" s="343"/>
      <c r="F169" s="343"/>
      <c r="G169" s="337"/>
      <c r="H169" s="338"/>
      <c r="I169" s="339"/>
      <c r="J169" s="370"/>
      <c r="K169" s="370"/>
      <c r="L169" s="368"/>
      <c r="M169" s="368"/>
      <c r="N169" s="368"/>
      <c r="O169" s="368"/>
      <c r="P169" s="369"/>
      <c r="Q169" s="369"/>
      <c r="R169" s="369"/>
      <c r="S169" s="369"/>
      <c r="T169" s="314"/>
      <c r="U169" s="260"/>
      <c r="V169" s="261"/>
      <c r="W169" s="261"/>
      <c r="X169" s="181"/>
      <c r="Y169" s="181"/>
      <c r="Z169" s="218"/>
      <c r="AA169" s="365"/>
      <c r="AB169" s="365"/>
      <c r="AC169" s="365"/>
      <c r="AD169" s="365"/>
      <c r="AE169" s="365"/>
      <c r="AF169" s="365"/>
      <c r="AG169" s="365"/>
      <c r="AH169" s="365"/>
      <c r="AI169" s="365"/>
      <c r="AJ169" s="365"/>
      <c r="AK169" s="365"/>
      <c r="AL169" s="365"/>
      <c r="AM169" s="365"/>
      <c r="AN169" s="365"/>
      <c r="AO169" s="365"/>
      <c r="AP169" s="365"/>
      <c r="AQ169" s="365"/>
    </row>
    <row r="170" ht="15.75" customHeight="1">
      <c r="A170" s="308"/>
      <c r="C170" s="343"/>
      <c r="D170" s="343"/>
      <c r="E170" s="343"/>
      <c r="F170" s="343"/>
      <c r="G170" s="337"/>
      <c r="H170" s="338"/>
      <c r="I170" s="339"/>
      <c r="J170" s="370"/>
      <c r="K170" s="370"/>
      <c r="L170" s="368"/>
      <c r="M170" s="368"/>
      <c r="N170" s="368"/>
      <c r="O170" s="368"/>
      <c r="P170" s="369"/>
      <c r="Q170" s="369"/>
      <c r="R170" s="369"/>
      <c r="S170" s="369"/>
      <c r="T170" s="314"/>
      <c r="U170" s="260"/>
      <c r="V170" s="261"/>
      <c r="W170" s="261"/>
      <c r="X170" s="181"/>
      <c r="Y170" s="181"/>
      <c r="Z170" s="218"/>
      <c r="AA170" s="365"/>
      <c r="AB170" s="365"/>
      <c r="AC170" s="365"/>
      <c r="AD170" s="365"/>
      <c r="AE170" s="365"/>
      <c r="AF170" s="365"/>
      <c r="AG170" s="365"/>
      <c r="AH170" s="365"/>
      <c r="AI170" s="365"/>
      <c r="AJ170" s="365"/>
      <c r="AK170" s="365"/>
      <c r="AL170" s="365"/>
      <c r="AM170" s="365"/>
      <c r="AN170" s="365"/>
      <c r="AO170" s="365"/>
      <c r="AP170" s="365"/>
      <c r="AQ170" s="365"/>
    </row>
    <row r="171" ht="15.75" customHeight="1">
      <c r="A171" s="308"/>
      <c r="C171" s="343"/>
      <c r="D171" s="343"/>
      <c r="E171" s="343"/>
      <c r="F171" s="343"/>
      <c r="G171" s="337"/>
      <c r="H171" s="338"/>
      <c r="I171" s="339"/>
      <c r="J171" s="370"/>
      <c r="K171" s="370"/>
      <c r="L171" s="368"/>
      <c r="M171" s="368"/>
      <c r="N171" s="368"/>
      <c r="O171" s="368"/>
      <c r="P171" s="369"/>
      <c r="Q171" s="369"/>
      <c r="R171" s="369"/>
      <c r="S171" s="369"/>
      <c r="T171" s="314"/>
      <c r="U171" s="260"/>
      <c r="V171" s="261"/>
      <c r="W171" s="261"/>
      <c r="X171" s="181"/>
      <c r="Y171" s="181"/>
      <c r="Z171" s="218"/>
      <c r="AA171" s="365"/>
      <c r="AB171" s="365"/>
      <c r="AC171" s="365"/>
      <c r="AD171" s="365"/>
      <c r="AE171" s="365"/>
      <c r="AF171" s="365"/>
      <c r="AG171" s="365"/>
      <c r="AH171" s="365"/>
      <c r="AI171" s="365"/>
      <c r="AJ171" s="365"/>
      <c r="AK171" s="365"/>
      <c r="AL171" s="365"/>
      <c r="AM171" s="365"/>
      <c r="AN171" s="365"/>
      <c r="AO171" s="365"/>
      <c r="AP171" s="365"/>
      <c r="AQ171" s="365"/>
    </row>
    <row r="172" ht="15.75" customHeight="1">
      <c r="A172" s="371">
        <v>4.0</v>
      </c>
      <c r="C172" s="225"/>
      <c r="D172" s="226"/>
      <c r="E172" s="226"/>
      <c r="F172" s="227"/>
      <c r="G172" s="271"/>
      <c r="H172" s="287"/>
      <c r="I172" s="231"/>
      <c r="J172" s="372"/>
      <c r="K172" s="372"/>
      <c r="L172" s="373">
        <f t="shared" ref="L172:O172" si="57">AVERAGEIF(L174:L188,"&gt;= 0")</f>
        <v>1</v>
      </c>
      <c r="M172" s="373">
        <f t="shared" si="57"/>
        <v>2</v>
      </c>
      <c r="N172" s="373">
        <f t="shared" si="57"/>
        <v>3</v>
      </c>
      <c r="O172" s="373">
        <f t="shared" si="57"/>
        <v>4</v>
      </c>
      <c r="P172" s="374"/>
      <c r="Q172" s="374"/>
      <c r="R172" s="374"/>
      <c r="S172" s="374"/>
      <c r="T172" s="236"/>
      <c r="U172" s="260"/>
      <c r="V172" s="261"/>
      <c r="W172" s="261"/>
      <c r="X172" s="181"/>
      <c r="Y172" s="181"/>
      <c r="Z172" s="218"/>
      <c r="AA172" s="365"/>
      <c r="AB172" s="365"/>
      <c r="AC172" s="365"/>
      <c r="AD172" s="365"/>
      <c r="AE172" s="365"/>
      <c r="AF172" s="365"/>
      <c r="AG172" s="365"/>
      <c r="AH172" s="365"/>
      <c r="AI172" s="365"/>
      <c r="AJ172" s="365"/>
      <c r="AK172" s="365"/>
      <c r="AL172" s="365"/>
      <c r="AM172" s="365"/>
      <c r="AN172" s="365"/>
      <c r="AO172" s="365"/>
      <c r="AP172" s="365"/>
      <c r="AQ172" s="365"/>
    </row>
    <row r="173" ht="15.75" customHeight="1" outlineLevel="1">
      <c r="A173" s="237"/>
      <c r="B173" s="4"/>
      <c r="C173" s="4"/>
      <c r="D173" s="4"/>
      <c r="E173" s="4"/>
      <c r="F173" s="4"/>
      <c r="G173" s="241"/>
      <c r="H173" s="139"/>
      <c r="I173" s="242"/>
      <c r="J173" s="375"/>
      <c r="K173" s="375"/>
      <c r="L173" s="376"/>
      <c r="M173" s="376"/>
      <c r="N173" s="376"/>
      <c r="O173" s="376"/>
      <c r="P173" s="377"/>
      <c r="Q173" s="377"/>
      <c r="R173" s="377"/>
      <c r="S173" s="377"/>
      <c r="T173" s="247"/>
      <c r="U173" s="260"/>
      <c r="V173" s="261"/>
      <c r="W173" s="261"/>
      <c r="X173" s="181"/>
      <c r="Y173" s="181"/>
      <c r="Z173" s="218"/>
      <c r="AA173" s="165"/>
      <c r="AB173" s="165"/>
      <c r="AC173" s="165"/>
      <c r="AD173" s="165"/>
      <c r="AE173" s="165"/>
      <c r="AF173" s="165"/>
      <c r="AG173" s="165"/>
      <c r="AH173" s="165"/>
      <c r="AI173" s="165"/>
      <c r="AJ173" s="165"/>
      <c r="AK173" s="165"/>
      <c r="AL173" s="165"/>
      <c r="AM173" s="165"/>
      <c r="AN173" s="165"/>
      <c r="AO173" s="165"/>
      <c r="AP173" s="165"/>
      <c r="AQ173" s="165"/>
    </row>
    <row r="174" ht="15.75" customHeight="1" outlineLevel="1">
      <c r="A174" s="273" t="s">
        <v>146</v>
      </c>
      <c r="B174" s="378"/>
      <c r="C174" s="279"/>
      <c r="D174" s="277"/>
      <c r="E174" s="277"/>
      <c r="F174" s="278"/>
      <c r="G174" s="379" t="s">
        <v>290</v>
      </c>
      <c r="H174" s="254" t="s">
        <v>291</v>
      </c>
      <c r="I174" s="255"/>
      <c r="J174" s="380"/>
      <c r="K174" s="381"/>
      <c r="L174" s="382">
        <f t="shared" ref="L174:L188" si="58">1</f>
        <v>1</v>
      </c>
      <c r="M174" s="383">
        <f t="shared" ref="M174:M188" si="59">2</f>
        <v>2</v>
      </c>
      <c r="N174" s="384">
        <f t="shared" ref="N174:N188" si="60">3</f>
        <v>3</v>
      </c>
      <c r="O174" s="385">
        <f t="shared" ref="O174:O188" si="61">4</f>
        <v>4</v>
      </c>
      <c r="P174" s="386"/>
      <c r="Q174" s="386"/>
      <c r="R174" s="386"/>
      <c r="S174" s="386"/>
      <c r="T174" s="264"/>
      <c r="U174" s="387" t="s">
        <v>292</v>
      </c>
      <c r="V174" s="387" t="s">
        <v>293</v>
      </c>
      <c r="W174" s="261"/>
      <c r="X174" s="262" t="s">
        <v>132</v>
      </c>
      <c r="Y174" s="181"/>
      <c r="Z174" s="218"/>
      <c r="AA174" s="165"/>
      <c r="AB174" s="165"/>
      <c r="AC174" s="165"/>
      <c r="AD174" s="165"/>
      <c r="AE174" s="165"/>
      <c r="AF174" s="165"/>
      <c r="AG174" s="165"/>
      <c r="AH174" s="165"/>
      <c r="AI174" s="165"/>
      <c r="AJ174" s="165"/>
      <c r="AK174" s="165"/>
      <c r="AL174" s="165"/>
      <c r="AM174" s="165"/>
      <c r="AN174" s="165"/>
      <c r="AO174" s="165"/>
      <c r="AP174" s="165"/>
      <c r="AQ174" s="165"/>
    </row>
    <row r="175" ht="15.75" customHeight="1" outlineLevel="1">
      <c r="A175" s="273" t="s">
        <v>149</v>
      </c>
      <c r="B175" s="378"/>
      <c r="C175" s="279"/>
      <c r="D175" s="277"/>
      <c r="E175" s="277"/>
      <c r="F175" s="278"/>
      <c r="G175" s="388" t="s">
        <v>294</v>
      </c>
      <c r="H175" s="254" t="s">
        <v>295</v>
      </c>
      <c r="I175" s="255"/>
      <c r="J175" s="380"/>
      <c r="K175" s="381"/>
      <c r="L175" s="382">
        <f t="shared" si="58"/>
        <v>1</v>
      </c>
      <c r="M175" s="383">
        <f t="shared" si="59"/>
        <v>2</v>
      </c>
      <c r="N175" s="384">
        <f t="shared" si="60"/>
        <v>3</v>
      </c>
      <c r="O175" s="385">
        <f t="shared" si="61"/>
        <v>4</v>
      </c>
      <c r="P175" s="386"/>
      <c r="Q175" s="386"/>
      <c r="R175" s="386"/>
      <c r="S175" s="386"/>
      <c r="T175" s="304"/>
      <c r="U175" s="389" t="s">
        <v>296</v>
      </c>
      <c r="V175" s="387" t="s">
        <v>297</v>
      </c>
      <c r="W175" s="261"/>
      <c r="X175" s="262" t="s">
        <v>132</v>
      </c>
      <c r="Y175" s="181"/>
      <c r="Z175" s="218"/>
      <c r="AA175" s="165"/>
      <c r="AB175" s="165"/>
      <c r="AC175" s="165"/>
      <c r="AD175" s="165"/>
      <c r="AE175" s="165"/>
      <c r="AF175" s="165"/>
      <c r="AG175" s="165"/>
      <c r="AH175" s="165"/>
      <c r="AI175" s="165"/>
      <c r="AJ175" s="165"/>
      <c r="AK175" s="165"/>
      <c r="AL175" s="165"/>
      <c r="AM175" s="165"/>
      <c r="AN175" s="165"/>
      <c r="AO175" s="165"/>
      <c r="AP175" s="165"/>
      <c r="AQ175" s="165"/>
    </row>
    <row r="176" ht="15.75" customHeight="1" outlineLevel="1">
      <c r="A176" s="273" t="s">
        <v>152</v>
      </c>
      <c r="B176" s="378"/>
      <c r="C176" s="279"/>
      <c r="D176" s="277"/>
      <c r="E176" s="277"/>
      <c r="F176" s="278"/>
      <c r="G176" s="388" t="s">
        <v>294</v>
      </c>
      <c r="H176" s="255" t="s">
        <v>291</v>
      </c>
      <c r="I176" s="255"/>
      <c r="J176" s="380"/>
      <c r="K176" s="381"/>
      <c r="L176" s="382">
        <f t="shared" si="58"/>
        <v>1</v>
      </c>
      <c r="M176" s="383">
        <f t="shared" si="59"/>
        <v>2</v>
      </c>
      <c r="N176" s="384">
        <f t="shared" si="60"/>
        <v>3</v>
      </c>
      <c r="O176" s="385">
        <f t="shared" si="61"/>
        <v>4</v>
      </c>
      <c r="P176" s="390"/>
      <c r="Q176" s="390"/>
      <c r="R176" s="390"/>
      <c r="S176" s="390"/>
      <c r="T176" s="391"/>
      <c r="U176" s="260"/>
      <c r="V176" s="261"/>
      <c r="W176" s="261"/>
      <c r="X176" s="181"/>
      <c r="Y176" s="181"/>
      <c r="Z176" s="218"/>
      <c r="AA176" s="165"/>
      <c r="AB176" s="165"/>
      <c r="AC176" s="165"/>
      <c r="AD176" s="165"/>
      <c r="AE176" s="165"/>
      <c r="AF176" s="165"/>
      <c r="AG176" s="165"/>
      <c r="AH176" s="165"/>
      <c r="AI176" s="165"/>
      <c r="AJ176" s="165"/>
      <c r="AK176" s="165"/>
      <c r="AL176" s="165"/>
      <c r="AM176" s="165"/>
      <c r="AN176" s="165"/>
      <c r="AO176" s="165"/>
      <c r="AP176" s="165"/>
      <c r="AQ176" s="165"/>
    </row>
    <row r="177" ht="15.75" customHeight="1" outlineLevel="1">
      <c r="A177" s="273" t="s">
        <v>155</v>
      </c>
      <c r="B177" s="378"/>
      <c r="G177" s="388" t="s">
        <v>294</v>
      </c>
      <c r="H177" s="254" t="s">
        <v>295</v>
      </c>
      <c r="I177" s="255"/>
      <c r="J177" s="380"/>
      <c r="K177" s="381"/>
      <c r="L177" s="382">
        <f t="shared" si="58"/>
        <v>1</v>
      </c>
      <c r="M177" s="383">
        <f t="shared" si="59"/>
        <v>2</v>
      </c>
      <c r="N177" s="384">
        <f t="shared" si="60"/>
        <v>3</v>
      </c>
      <c r="O177" s="385">
        <f t="shared" si="61"/>
        <v>4</v>
      </c>
      <c r="P177" s="390"/>
      <c r="Q177" s="390"/>
      <c r="R177" s="390"/>
      <c r="S177" s="390"/>
      <c r="T177" s="391"/>
      <c r="U177" s="387" t="s">
        <v>298</v>
      </c>
      <c r="V177" s="261"/>
      <c r="W177" s="261"/>
      <c r="X177" s="262" t="s">
        <v>132</v>
      </c>
      <c r="Y177" s="181"/>
      <c r="Z177" s="218"/>
      <c r="AA177" s="165"/>
      <c r="AB177" s="165"/>
      <c r="AC177" s="165"/>
      <c r="AD177" s="165"/>
      <c r="AE177" s="165"/>
      <c r="AF177" s="165"/>
      <c r="AG177" s="165"/>
      <c r="AH177" s="165"/>
      <c r="AI177" s="165"/>
      <c r="AJ177" s="165"/>
      <c r="AK177" s="165"/>
      <c r="AL177" s="165"/>
      <c r="AM177" s="165"/>
      <c r="AN177" s="165"/>
      <c r="AO177" s="165"/>
      <c r="AP177" s="165"/>
      <c r="AQ177" s="165"/>
    </row>
    <row r="178" ht="15.75" customHeight="1" outlineLevel="1">
      <c r="A178" s="273" t="s">
        <v>158</v>
      </c>
      <c r="B178" s="378"/>
      <c r="C178" s="279"/>
      <c r="D178" s="277"/>
      <c r="E178" s="277"/>
      <c r="F178" s="278"/>
      <c r="G178" s="388" t="s">
        <v>294</v>
      </c>
      <c r="H178" s="254" t="s">
        <v>291</v>
      </c>
      <c r="I178" s="255"/>
      <c r="J178" s="380"/>
      <c r="K178" s="381"/>
      <c r="L178" s="382">
        <f t="shared" si="58"/>
        <v>1</v>
      </c>
      <c r="M178" s="383">
        <f t="shared" si="59"/>
        <v>2</v>
      </c>
      <c r="N178" s="384">
        <f t="shared" si="60"/>
        <v>3</v>
      </c>
      <c r="O178" s="385">
        <f t="shared" si="61"/>
        <v>4</v>
      </c>
      <c r="P178" s="390"/>
      <c r="Q178" s="390"/>
      <c r="R178" s="390"/>
      <c r="S178" s="390"/>
      <c r="T178" s="391"/>
      <c r="U178" s="260"/>
      <c r="V178" s="261"/>
      <c r="W178" s="261"/>
      <c r="X178" s="181"/>
      <c r="Y178" s="181"/>
      <c r="Z178" s="218"/>
      <c r="AA178" s="165"/>
      <c r="AB178" s="165"/>
      <c r="AC178" s="165"/>
      <c r="AD178" s="165"/>
      <c r="AE178" s="165"/>
      <c r="AF178" s="165"/>
      <c r="AG178" s="165"/>
      <c r="AH178" s="165"/>
      <c r="AI178" s="165"/>
      <c r="AJ178" s="165"/>
      <c r="AK178" s="165"/>
      <c r="AL178" s="165"/>
      <c r="AM178" s="165"/>
      <c r="AN178" s="165"/>
      <c r="AO178" s="165"/>
      <c r="AP178" s="165"/>
      <c r="AQ178" s="165"/>
    </row>
    <row r="179" ht="15.75" customHeight="1" outlineLevel="1">
      <c r="A179" s="273" t="s">
        <v>161</v>
      </c>
      <c r="B179" s="378"/>
      <c r="C179" s="279"/>
      <c r="D179" s="277"/>
      <c r="E179" s="277"/>
      <c r="F179" s="278"/>
      <c r="G179" s="388" t="s">
        <v>294</v>
      </c>
      <c r="H179" s="254" t="s">
        <v>295</v>
      </c>
      <c r="I179" s="255"/>
      <c r="J179" s="380"/>
      <c r="K179" s="381"/>
      <c r="L179" s="382">
        <f t="shared" si="58"/>
        <v>1</v>
      </c>
      <c r="M179" s="383">
        <f t="shared" si="59"/>
        <v>2</v>
      </c>
      <c r="N179" s="384">
        <f t="shared" si="60"/>
        <v>3</v>
      </c>
      <c r="O179" s="385">
        <f t="shared" si="61"/>
        <v>4</v>
      </c>
      <c r="P179" s="390"/>
      <c r="Q179" s="390"/>
      <c r="R179" s="390"/>
      <c r="S179" s="390"/>
      <c r="T179" s="391"/>
      <c r="U179" s="260"/>
      <c r="V179" s="261"/>
      <c r="W179" s="261"/>
      <c r="X179" s="181"/>
      <c r="Y179" s="181"/>
      <c r="Z179" s="218"/>
      <c r="AA179" s="165"/>
      <c r="AB179" s="165"/>
      <c r="AC179" s="165"/>
      <c r="AD179" s="165"/>
      <c r="AE179" s="165"/>
      <c r="AF179" s="165"/>
      <c r="AG179" s="165"/>
      <c r="AH179" s="165"/>
      <c r="AI179" s="165"/>
      <c r="AJ179" s="165"/>
      <c r="AK179" s="165"/>
      <c r="AL179" s="165"/>
      <c r="AM179" s="165"/>
      <c r="AN179" s="165"/>
      <c r="AO179" s="165"/>
      <c r="AP179" s="165"/>
      <c r="AQ179" s="165"/>
    </row>
    <row r="180" ht="15.75" customHeight="1" outlineLevel="1">
      <c r="A180" s="273" t="s">
        <v>164</v>
      </c>
      <c r="B180" s="378"/>
      <c r="C180" s="279"/>
      <c r="D180" s="277"/>
      <c r="E180" s="277"/>
      <c r="F180" s="278"/>
      <c r="G180" s="388" t="s">
        <v>299</v>
      </c>
      <c r="H180" s="254" t="s">
        <v>291</v>
      </c>
      <c r="I180" s="255"/>
      <c r="J180" s="380"/>
      <c r="K180" s="381"/>
      <c r="L180" s="382">
        <f t="shared" si="58"/>
        <v>1</v>
      </c>
      <c r="M180" s="383">
        <f t="shared" si="59"/>
        <v>2</v>
      </c>
      <c r="N180" s="384">
        <f t="shared" si="60"/>
        <v>3</v>
      </c>
      <c r="O180" s="385">
        <f t="shared" si="61"/>
        <v>4</v>
      </c>
      <c r="P180" s="390"/>
      <c r="Q180" s="390"/>
      <c r="R180" s="390"/>
      <c r="S180" s="390"/>
      <c r="T180" s="391"/>
      <c r="U180" s="387" t="s">
        <v>300</v>
      </c>
      <c r="V180" s="261"/>
      <c r="W180" s="261"/>
      <c r="X180" s="262" t="s">
        <v>132</v>
      </c>
      <c r="Y180" s="181"/>
      <c r="Z180" s="218"/>
      <c r="AA180" s="165"/>
      <c r="AB180" s="165"/>
      <c r="AC180" s="165"/>
      <c r="AD180" s="165"/>
      <c r="AE180" s="165"/>
      <c r="AF180" s="165"/>
      <c r="AG180" s="165"/>
      <c r="AH180" s="165"/>
      <c r="AI180" s="165"/>
      <c r="AJ180" s="165"/>
      <c r="AK180" s="165"/>
      <c r="AL180" s="165"/>
      <c r="AM180" s="165"/>
      <c r="AN180" s="165"/>
      <c r="AO180" s="165"/>
      <c r="AP180" s="165"/>
      <c r="AQ180" s="165"/>
    </row>
    <row r="181" ht="15.75" customHeight="1" outlineLevel="1">
      <c r="A181" s="273" t="s">
        <v>167</v>
      </c>
      <c r="B181" s="378"/>
      <c r="C181" s="279"/>
      <c r="D181" s="277"/>
      <c r="E181" s="277"/>
      <c r="F181" s="278"/>
      <c r="G181" s="388" t="s">
        <v>299</v>
      </c>
      <c r="H181" s="254" t="s">
        <v>301</v>
      </c>
      <c r="I181" s="255"/>
      <c r="J181" s="380"/>
      <c r="K181" s="381"/>
      <c r="L181" s="382">
        <f t="shared" si="58"/>
        <v>1</v>
      </c>
      <c r="M181" s="383">
        <f t="shared" si="59"/>
        <v>2</v>
      </c>
      <c r="N181" s="384">
        <f t="shared" si="60"/>
        <v>3</v>
      </c>
      <c r="O181" s="385">
        <f t="shared" si="61"/>
        <v>4</v>
      </c>
      <c r="P181" s="390"/>
      <c r="Q181" s="390"/>
      <c r="R181" s="390"/>
      <c r="S181" s="390"/>
      <c r="T181" s="391"/>
      <c r="U181" s="387" t="s">
        <v>302</v>
      </c>
      <c r="V181" s="261"/>
      <c r="W181" s="261"/>
      <c r="X181" s="262" t="s">
        <v>132</v>
      </c>
      <c r="Y181" s="181"/>
      <c r="Z181" s="218"/>
      <c r="AA181" s="165"/>
      <c r="AB181" s="165"/>
      <c r="AC181" s="165"/>
      <c r="AD181" s="165"/>
      <c r="AE181" s="165"/>
      <c r="AF181" s="165"/>
      <c r="AG181" s="165"/>
      <c r="AH181" s="165"/>
      <c r="AI181" s="165"/>
      <c r="AJ181" s="165"/>
      <c r="AK181" s="165"/>
      <c r="AL181" s="165"/>
      <c r="AM181" s="165"/>
      <c r="AN181" s="165"/>
      <c r="AO181" s="165"/>
      <c r="AP181" s="165"/>
      <c r="AQ181" s="165"/>
    </row>
    <row r="182" ht="15.75" customHeight="1" outlineLevel="1">
      <c r="A182" s="273" t="s">
        <v>303</v>
      </c>
      <c r="B182" s="378"/>
      <c r="C182" s="279"/>
      <c r="D182" s="277"/>
      <c r="E182" s="277"/>
      <c r="F182" s="278"/>
      <c r="G182" s="388" t="s">
        <v>299</v>
      </c>
      <c r="H182" s="254" t="s">
        <v>291</v>
      </c>
      <c r="I182" s="255"/>
      <c r="J182" s="380"/>
      <c r="K182" s="381"/>
      <c r="L182" s="382">
        <f t="shared" si="58"/>
        <v>1</v>
      </c>
      <c r="M182" s="383">
        <f t="shared" si="59"/>
        <v>2</v>
      </c>
      <c r="N182" s="384">
        <f t="shared" si="60"/>
        <v>3</v>
      </c>
      <c r="O182" s="385">
        <f t="shared" si="61"/>
        <v>4</v>
      </c>
      <c r="P182" s="390"/>
      <c r="Q182" s="390"/>
      <c r="R182" s="390"/>
      <c r="S182" s="390"/>
      <c r="T182" s="391"/>
      <c r="U182" s="387" t="s">
        <v>304</v>
      </c>
      <c r="V182" s="261"/>
      <c r="W182" s="261"/>
      <c r="X182" s="262" t="s">
        <v>132</v>
      </c>
      <c r="Y182" s="181"/>
      <c r="Z182" s="218"/>
      <c r="AA182" s="165"/>
      <c r="AB182" s="165"/>
      <c r="AC182" s="165"/>
      <c r="AD182" s="165"/>
      <c r="AE182" s="165"/>
      <c r="AF182" s="165"/>
      <c r="AG182" s="165"/>
      <c r="AH182" s="165"/>
      <c r="AI182" s="165"/>
      <c r="AJ182" s="165"/>
      <c r="AK182" s="165"/>
      <c r="AL182" s="165"/>
      <c r="AM182" s="165"/>
      <c r="AN182" s="165"/>
      <c r="AO182" s="165"/>
      <c r="AP182" s="165"/>
      <c r="AQ182" s="165"/>
    </row>
    <row r="183" ht="15.75" customHeight="1" outlineLevel="1">
      <c r="A183" s="273" t="s">
        <v>305</v>
      </c>
      <c r="B183" s="378"/>
      <c r="C183" s="279"/>
      <c r="D183" s="277"/>
      <c r="E183" s="277"/>
      <c r="F183" s="278"/>
      <c r="G183" s="388" t="s">
        <v>294</v>
      </c>
      <c r="H183" s="254" t="s">
        <v>291</v>
      </c>
      <c r="I183" s="255"/>
      <c r="J183" s="380"/>
      <c r="K183" s="381"/>
      <c r="L183" s="382">
        <f t="shared" si="58"/>
        <v>1</v>
      </c>
      <c r="M183" s="383">
        <f t="shared" si="59"/>
        <v>2</v>
      </c>
      <c r="N183" s="384">
        <f t="shared" si="60"/>
        <v>3</v>
      </c>
      <c r="O183" s="385">
        <f t="shared" si="61"/>
        <v>4</v>
      </c>
      <c r="P183" s="390"/>
      <c r="Q183" s="390"/>
      <c r="R183" s="390"/>
      <c r="S183" s="390"/>
      <c r="T183" s="392"/>
      <c r="U183" s="260"/>
      <c r="V183" s="261"/>
      <c r="W183" s="261"/>
      <c r="X183" s="181"/>
      <c r="Y183" s="181"/>
      <c r="Z183" s="218"/>
      <c r="AA183" s="165"/>
      <c r="AB183" s="165"/>
      <c r="AC183" s="165"/>
      <c r="AD183" s="165"/>
      <c r="AE183" s="165"/>
      <c r="AF183" s="165"/>
      <c r="AG183" s="165"/>
      <c r="AH183" s="165"/>
      <c r="AI183" s="165"/>
      <c r="AJ183" s="165"/>
      <c r="AK183" s="165"/>
      <c r="AL183" s="165"/>
      <c r="AM183" s="165"/>
      <c r="AN183" s="165"/>
      <c r="AO183" s="165"/>
      <c r="AP183" s="165"/>
      <c r="AQ183" s="165"/>
    </row>
    <row r="184" ht="15.75" customHeight="1" outlineLevel="1">
      <c r="A184" s="273" t="s">
        <v>306</v>
      </c>
      <c r="B184" s="378"/>
      <c r="C184" s="279"/>
      <c r="D184" s="277"/>
      <c r="E184" s="277"/>
      <c r="F184" s="278"/>
      <c r="G184" s="388" t="s">
        <v>307</v>
      </c>
      <c r="H184" s="254" t="s">
        <v>291</v>
      </c>
      <c r="I184" s="255"/>
      <c r="J184" s="380"/>
      <c r="K184" s="381"/>
      <c r="L184" s="382">
        <f t="shared" si="58"/>
        <v>1</v>
      </c>
      <c r="M184" s="383">
        <f t="shared" si="59"/>
        <v>2</v>
      </c>
      <c r="N184" s="384">
        <f t="shared" si="60"/>
        <v>3</v>
      </c>
      <c r="O184" s="385">
        <f t="shared" si="61"/>
        <v>4</v>
      </c>
      <c r="P184" s="386"/>
      <c r="Q184" s="386"/>
      <c r="R184" s="386"/>
      <c r="S184" s="386"/>
      <c r="T184" s="264"/>
      <c r="U184" s="260"/>
      <c r="V184" s="261"/>
      <c r="W184" s="261"/>
      <c r="X184" s="181"/>
      <c r="Y184" s="181"/>
      <c r="Z184" s="218"/>
      <c r="AA184" s="165"/>
      <c r="AB184" s="165"/>
      <c r="AC184" s="165"/>
      <c r="AD184" s="165"/>
      <c r="AE184" s="165"/>
      <c r="AF184" s="165"/>
      <c r="AG184" s="165"/>
      <c r="AH184" s="165"/>
      <c r="AI184" s="165"/>
      <c r="AJ184" s="165"/>
      <c r="AK184" s="165"/>
      <c r="AL184" s="165"/>
      <c r="AM184" s="165"/>
      <c r="AN184" s="165"/>
      <c r="AO184" s="165"/>
      <c r="AP184" s="165"/>
      <c r="AQ184" s="165"/>
    </row>
    <row r="185" ht="15.75" customHeight="1" outlineLevel="1">
      <c r="A185" s="273" t="s">
        <v>308</v>
      </c>
      <c r="B185" s="378"/>
      <c r="C185" s="279"/>
      <c r="D185" s="277"/>
      <c r="E185" s="277"/>
      <c r="F185" s="278"/>
      <c r="G185" s="388" t="s">
        <v>309</v>
      </c>
      <c r="H185" s="254" t="s">
        <v>295</v>
      </c>
      <c r="I185" s="255"/>
      <c r="J185" s="380"/>
      <c r="K185" s="381"/>
      <c r="L185" s="382">
        <f t="shared" si="58"/>
        <v>1</v>
      </c>
      <c r="M185" s="383">
        <f t="shared" si="59"/>
        <v>2</v>
      </c>
      <c r="N185" s="384">
        <f t="shared" si="60"/>
        <v>3</v>
      </c>
      <c r="O185" s="385">
        <f t="shared" si="61"/>
        <v>4</v>
      </c>
      <c r="P185" s="386"/>
      <c r="Q185" s="386"/>
      <c r="R185" s="386"/>
      <c r="S185" s="386"/>
      <c r="T185" s="264"/>
      <c r="U185" s="389" t="s">
        <v>310</v>
      </c>
      <c r="V185" s="261"/>
      <c r="W185" s="261"/>
      <c r="X185" s="262" t="s">
        <v>132</v>
      </c>
      <c r="Y185" s="181"/>
      <c r="Z185" s="218"/>
      <c r="AA185" s="165"/>
      <c r="AB185" s="165"/>
      <c r="AC185" s="165"/>
      <c r="AD185" s="165"/>
      <c r="AE185" s="165"/>
      <c r="AF185" s="165"/>
      <c r="AG185" s="165"/>
      <c r="AH185" s="165"/>
      <c r="AI185" s="165"/>
      <c r="AJ185" s="165"/>
      <c r="AK185" s="165"/>
      <c r="AL185" s="165"/>
      <c r="AM185" s="165"/>
      <c r="AN185" s="165"/>
      <c r="AO185" s="165"/>
      <c r="AP185" s="165"/>
      <c r="AQ185" s="165"/>
    </row>
    <row r="186" ht="15.75" customHeight="1" outlineLevel="1">
      <c r="A186" s="273" t="s">
        <v>311</v>
      </c>
      <c r="B186" s="378"/>
      <c r="C186" s="279"/>
      <c r="D186" s="277"/>
      <c r="E186" s="277"/>
      <c r="F186" s="278"/>
      <c r="G186" s="388" t="s">
        <v>309</v>
      </c>
      <c r="H186" s="255" t="s">
        <v>291</v>
      </c>
      <c r="I186" s="393"/>
      <c r="J186" s="394"/>
      <c r="K186" s="395"/>
      <c r="L186" s="382">
        <f t="shared" si="58"/>
        <v>1</v>
      </c>
      <c r="M186" s="383">
        <f t="shared" si="59"/>
        <v>2</v>
      </c>
      <c r="N186" s="384">
        <f t="shared" si="60"/>
        <v>3</v>
      </c>
      <c r="O186" s="385">
        <f t="shared" si="61"/>
        <v>4</v>
      </c>
      <c r="P186" s="386"/>
      <c r="Q186" s="386"/>
      <c r="R186" s="386"/>
      <c r="S186" s="386"/>
      <c r="T186" s="264"/>
      <c r="U186" s="260"/>
      <c r="V186" s="261"/>
      <c r="W186" s="261"/>
      <c r="X186" s="181"/>
      <c r="Y186" s="181"/>
      <c r="Z186" s="218"/>
      <c r="AA186" s="165"/>
      <c r="AB186" s="165"/>
      <c r="AC186" s="165"/>
      <c r="AD186" s="165"/>
      <c r="AE186" s="165"/>
      <c r="AF186" s="165"/>
      <c r="AG186" s="165"/>
      <c r="AH186" s="165"/>
      <c r="AI186" s="165"/>
      <c r="AJ186" s="165"/>
      <c r="AK186" s="165"/>
      <c r="AL186" s="165"/>
      <c r="AM186" s="165"/>
      <c r="AN186" s="165"/>
      <c r="AO186" s="165"/>
      <c r="AP186" s="165"/>
      <c r="AQ186" s="165"/>
    </row>
    <row r="187" ht="15.75" customHeight="1" outlineLevel="1">
      <c r="A187" s="273" t="s">
        <v>312</v>
      </c>
      <c r="B187" s="378"/>
      <c r="C187" s="279"/>
      <c r="D187" s="277"/>
      <c r="E187" s="277"/>
      <c r="F187" s="278"/>
      <c r="G187" s="388" t="s">
        <v>309</v>
      </c>
      <c r="H187" s="254" t="s">
        <v>295</v>
      </c>
      <c r="I187" s="393"/>
      <c r="J187" s="380"/>
      <c r="K187" s="381"/>
      <c r="L187" s="382">
        <f t="shared" si="58"/>
        <v>1</v>
      </c>
      <c r="M187" s="383">
        <f t="shared" si="59"/>
        <v>2</v>
      </c>
      <c r="N187" s="384">
        <f t="shared" si="60"/>
        <v>3</v>
      </c>
      <c r="O187" s="385">
        <f t="shared" si="61"/>
        <v>4</v>
      </c>
      <c r="P187" s="386"/>
      <c r="Q187" s="386"/>
      <c r="R187" s="386"/>
      <c r="S187" s="386"/>
      <c r="T187" s="264"/>
      <c r="U187" s="260"/>
      <c r="V187" s="261"/>
      <c r="W187" s="261"/>
      <c r="X187" s="181"/>
      <c r="Y187" s="181"/>
      <c r="Z187" s="218"/>
      <c r="AA187" s="165"/>
      <c r="AB187" s="165"/>
      <c r="AC187" s="165"/>
      <c r="AD187" s="165"/>
      <c r="AE187" s="165"/>
      <c r="AF187" s="165"/>
      <c r="AG187" s="165"/>
      <c r="AH187" s="165"/>
      <c r="AI187" s="165"/>
      <c r="AJ187" s="165"/>
      <c r="AK187" s="165"/>
      <c r="AL187" s="165"/>
      <c r="AM187" s="165"/>
      <c r="AN187" s="165"/>
      <c r="AO187" s="165"/>
      <c r="AP187" s="165"/>
      <c r="AQ187" s="165"/>
    </row>
    <row r="188" ht="15.75" customHeight="1" outlineLevel="1">
      <c r="A188" s="273" t="s">
        <v>313</v>
      </c>
      <c r="B188" s="378"/>
      <c r="C188" s="279"/>
      <c r="D188" s="277"/>
      <c r="E188" s="277"/>
      <c r="F188" s="278"/>
      <c r="G188" s="388" t="s">
        <v>309</v>
      </c>
      <c r="H188" s="254" t="s">
        <v>314</v>
      </c>
      <c r="I188" s="284"/>
      <c r="J188" s="381"/>
      <c r="K188" s="381"/>
      <c r="L188" s="382">
        <f t="shared" si="58"/>
        <v>1</v>
      </c>
      <c r="M188" s="383">
        <f t="shared" si="59"/>
        <v>2</v>
      </c>
      <c r="N188" s="384">
        <f t="shared" si="60"/>
        <v>3</v>
      </c>
      <c r="O188" s="385">
        <f t="shared" si="61"/>
        <v>4</v>
      </c>
      <c r="P188" s="386"/>
      <c r="Q188" s="386"/>
      <c r="R188" s="386"/>
      <c r="S188" s="386"/>
      <c r="T188" s="264"/>
      <c r="U188" s="260"/>
      <c r="V188" s="261"/>
      <c r="W188" s="261"/>
      <c r="X188" s="181"/>
      <c r="Y188" s="181"/>
      <c r="Z188" s="218"/>
      <c r="AA188" s="165"/>
      <c r="AB188" s="165"/>
      <c r="AC188" s="165"/>
      <c r="AD188" s="165"/>
      <c r="AE188" s="165"/>
      <c r="AF188" s="165"/>
      <c r="AG188" s="165"/>
      <c r="AH188" s="165"/>
      <c r="AI188" s="165"/>
      <c r="AJ188" s="165"/>
      <c r="AK188" s="165"/>
      <c r="AL188" s="165"/>
      <c r="AM188" s="165"/>
      <c r="AN188" s="165"/>
      <c r="AO188" s="165"/>
      <c r="AP188" s="165"/>
      <c r="AQ188" s="165"/>
    </row>
    <row r="189" ht="15.75" customHeight="1" outlineLevel="1">
      <c r="A189" s="280"/>
      <c r="B189" s="281"/>
      <c r="C189" s="281"/>
      <c r="D189" s="281"/>
      <c r="E189" s="281"/>
      <c r="F189" s="281"/>
      <c r="G189" s="282"/>
      <c r="H189" s="283"/>
      <c r="I189" s="284"/>
      <c r="J189" s="396"/>
      <c r="K189" s="396"/>
      <c r="L189" s="397"/>
      <c r="M189" s="397"/>
      <c r="N189" s="397"/>
      <c r="O189" s="397"/>
      <c r="P189" s="386"/>
      <c r="Q189" s="386"/>
      <c r="R189" s="386"/>
      <c r="S189" s="386"/>
      <c r="T189" s="264"/>
      <c r="U189" s="260"/>
      <c r="V189" s="261"/>
      <c r="W189" s="261" t="s">
        <v>132</v>
      </c>
      <c r="X189" s="181"/>
      <c r="Y189" s="181"/>
      <c r="Z189" s="218"/>
      <c r="AA189" s="165"/>
      <c r="AB189" s="165"/>
      <c r="AC189" s="165"/>
      <c r="AD189" s="165"/>
      <c r="AE189" s="165"/>
      <c r="AF189" s="165"/>
      <c r="AG189" s="165"/>
      <c r="AH189" s="165"/>
      <c r="AI189" s="165"/>
      <c r="AJ189" s="165"/>
      <c r="AK189" s="165"/>
      <c r="AL189" s="165"/>
      <c r="AM189" s="165"/>
      <c r="AN189" s="165"/>
      <c r="AO189" s="165"/>
      <c r="AP189" s="165"/>
      <c r="AQ189" s="165"/>
    </row>
    <row r="190" ht="15.75" customHeight="1">
      <c r="A190" s="371">
        <v>5.0</v>
      </c>
      <c r="B190" s="1"/>
      <c r="C190" s="225" t="s">
        <v>315</v>
      </c>
      <c r="D190" s="226"/>
      <c r="E190" s="226"/>
      <c r="F190" s="227"/>
      <c r="G190" s="271"/>
      <c r="H190" s="287"/>
      <c r="I190" s="231"/>
      <c r="J190" s="372"/>
      <c r="K190" s="372"/>
      <c r="L190" s="373">
        <f t="shared" ref="L190:O190" si="62">AVERAGEIF(L192:L204,"&gt;= 0")</f>
        <v>1</v>
      </c>
      <c r="M190" s="373">
        <f t="shared" si="62"/>
        <v>2</v>
      </c>
      <c r="N190" s="373">
        <f t="shared" si="62"/>
        <v>3</v>
      </c>
      <c r="O190" s="373">
        <f t="shared" si="62"/>
        <v>4</v>
      </c>
      <c r="P190" s="374"/>
      <c r="Q190" s="374"/>
      <c r="R190" s="374"/>
      <c r="S190" s="374"/>
      <c r="T190" s="236"/>
      <c r="U190" s="260"/>
      <c r="V190" s="261"/>
      <c r="W190" s="261"/>
      <c r="X190" s="181"/>
      <c r="Y190" s="181"/>
      <c r="Z190" s="218"/>
      <c r="AA190" s="365"/>
      <c r="AB190" s="365"/>
      <c r="AC190" s="365"/>
      <c r="AD190" s="365"/>
      <c r="AE190" s="365"/>
      <c r="AF190" s="365"/>
      <c r="AG190" s="365"/>
      <c r="AH190" s="365"/>
      <c r="AI190" s="365"/>
      <c r="AJ190" s="365"/>
      <c r="AK190" s="365"/>
      <c r="AL190" s="365"/>
      <c r="AM190" s="365"/>
      <c r="AN190" s="365"/>
      <c r="AO190" s="365"/>
      <c r="AP190" s="365"/>
      <c r="AQ190" s="365"/>
    </row>
    <row r="191" ht="15.75" customHeight="1" outlineLevel="1">
      <c r="A191" s="237"/>
      <c r="B191" s="4"/>
      <c r="C191" s="4"/>
      <c r="D191" s="4"/>
      <c r="E191" s="4"/>
      <c r="F191" s="4"/>
      <c r="G191" s="241"/>
      <c r="H191" s="139"/>
      <c r="I191" s="242"/>
      <c r="J191" s="375"/>
      <c r="K191" s="375"/>
      <c r="L191" s="376"/>
      <c r="M191" s="376"/>
      <c r="N191" s="376"/>
      <c r="O191" s="376"/>
      <c r="P191" s="377"/>
      <c r="Q191" s="377"/>
      <c r="R191" s="377"/>
      <c r="S191" s="377"/>
      <c r="T191" s="247"/>
      <c r="U191" s="260"/>
      <c r="V191" s="261"/>
      <c r="W191" s="261"/>
      <c r="X191" s="181"/>
      <c r="Y191" s="181"/>
      <c r="Z191" s="218"/>
      <c r="AA191" s="165"/>
      <c r="AB191" s="165"/>
      <c r="AC191" s="165"/>
      <c r="AD191" s="165"/>
      <c r="AE191" s="165"/>
      <c r="AF191" s="165"/>
      <c r="AG191" s="165"/>
      <c r="AH191" s="165"/>
      <c r="AI191" s="165"/>
      <c r="AJ191" s="165"/>
      <c r="AK191" s="165"/>
      <c r="AL191" s="165"/>
      <c r="AM191" s="165"/>
      <c r="AN191" s="165"/>
      <c r="AO191" s="165"/>
      <c r="AP191" s="165"/>
      <c r="AQ191" s="165"/>
    </row>
    <row r="192" ht="15.75" customHeight="1" outlineLevel="1">
      <c r="A192" s="273" t="s">
        <v>170</v>
      </c>
      <c r="B192" s="378"/>
      <c r="C192" s="279" t="s">
        <v>316</v>
      </c>
      <c r="D192" s="277"/>
      <c r="E192" s="277"/>
      <c r="F192" s="278"/>
      <c r="G192" s="388" t="s">
        <v>317</v>
      </c>
      <c r="H192" s="254" t="s">
        <v>291</v>
      </c>
      <c r="I192" s="255"/>
      <c r="J192" s="380"/>
      <c r="K192" s="381"/>
      <c r="L192" s="382">
        <f t="shared" ref="L192:L204" si="63">1</f>
        <v>1</v>
      </c>
      <c r="M192" s="383">
        <f t="shared" ref="M192:M204" si="64">2</f>
        <v>2</v>
      </c>
      <c r="N192" s="384">
        <f t="shared" ref="N192:N204" si="65">3</f>
        <v>3</v>
      </c>
      <c r="O192" s="385">
        <f t="shared" ref="O192:O204" si="66">4</f>
        <v>4</v>
      </c>
      <c r="P192" s="386"/>
      <c r="Q192" s="386"/>
      <c r="R192" s="386"/>
      <c r="S192" s="386"/>
      <c r="T192" s="304"/>
      <c r="U192" s="260"/>
      <c r="V192" s="261"/>
      <c r="W192" s="261"/>
      <c r="X192" s="181"/>
      <c r="Y192" s="181"/>
      <c r="Z192" s="218"/>
      <c r="AA192" s="165"/>
      <c r="AB192" s="165"/>
      <c r="AC192" s="165"/>
      <c r="AD192" s="165"/>
      <c r="AE192" s="165"/>
      <c r="AF192" s="165"/>
      <c r="AG192" s="165"/>
      <c r="AH192" s="165"/>
      <c r="AI192" s="165"/>
      <c r="AJ192" s="165"/>
      <c r="AK192" s="165"/>
      <c r="AL192" s="165"/>
      <c r="AM192" s="165"/>
      <c r="AN192" s="165"/>
      <c r="AO192" s="165"/>
      <c r="AP192" s="165"/>
      <c r="AQ192" s="165"/>
    </row>
    <row r="193" ht="15.75" customHeight="1" outlineLevel="1">
      <c r="A193" s="273" t="s">
        <v>173</v>
      </c>
      <c r="B193" s="378"/>
      <c r="C193" s="279" t="s">
        <v>318</v>
      </c>
      <c r="D193" s="277"/>
      <c r="E193" s="277"/>
      <c r="F193" s="278"/>
      <c r="G193" s="388" t="s">
        <v>307</v>
      </c>
      <c r="H193" s="254" t="s">
        <v>295</v>
      </c>
      <c r="I193" s="255"/>
      <c r="J193" s="380"/>
      <c r="K193" s="381"/>
      <c r="L193" s="382">
        <f t="shared" si="63"/>
        <v>1</v>
      </c>
      <c r="M193" s="383">
        <f t="shared" si="64"/>
        <v>2</v>
      </c>
      <c r="N193" s="384">
        <f t="shared" si="65"/>
        <v>3</v>
      </c>
      <c r="O193" s="385">
        <f t="shared" si="66"/>
        <v>4</v>
      </c>
      <c r="P193" s="386"/>
      <c r="Q193" s="386"/>
      <c r="R193" s="386"/>
      <c r="S193" s="386"/>
      <c r="T193" s="259"/>
      <c r="U193" s="260"/>
      <c r="V193" s="261"/>
      <c r="W193" s="261"/>
      <c r="X193" s="181"/>
      <c r="Y193" s="181"/>
      <c r="Z193" s="218"/>
      <c r="AA193" s="165"/>
      <c r="AB193" s="165"/>
      <c r="AC193" s="165"/>
      <c r="AD193" s="165"/>
      <c r="AE193" s="165"/>
      <c r="AF193" s="165"/>
      <c r="AG193" s="165"/>
      <c r="AH193" s="165"/>
      <c r="AI193" s="165"/>
      <c r="AJ193" s="165"/>
      <c r="AK193" s="165"/>
      <c r="AL193" s="165"/>
      <c r="AM193" s="165"/>
      <c r="AN193" s="165"/>
      <c r="AO193" s="165"/>
      <c r="AP193" s="165"/>
      <c r="AQ193" s="165"/>
    </row>
    <row r="194" ht="15.75" customHeight="1" outlineLevel="1">
      <c r="A194" s="273" t="s">
        <v>319</v>
      </c>
      <c r="B194" s="378"/>
      <c r="C194" s="279" t="s">
        <v>320</v>
      </c>
      <c r="D194" s="277"/>
      <c r="E194" s="277"/>
      <c r="F194" s="278"/>
      <c r="G194" s="388" t="s">
        <v>317</v>
      </c>
      <c r="H194" s="255" t="s">
        <v>291</v>
      </c>
      <c r="I194" s="255"/>
      <c r="J194" s="380"/>
      <c r="K194" s="381"/>
      <c r="L194" s="382">
        <f t="shared" si="63"/>
        <v>1</v>
      </c>
      <c r="M194" s="383">
        <f t="shared" si="64"/>
        <v>2</v>
      </c>
      <c r="N194" s="384">
        <f t="shared" si="65"/>
        <v>3</v>
      </c>
      <c r="O194" s="385">
        <f t="shared" si="66"/>
        <v>4</v>
      </c>
      <c r="P194" s="386"/>
      <c r="Q194" s="386"/>
      <c r="R194" s="386"/>
      <c r="S194" s="386"/>
      <c r="T194" s="259"/>
      <c r="U194" s="387" t="s">
        <v>321</v>
      </c>
      <c r="V194" s="261"/>
      <c r="W194" s="261"/>
      <c r="X194" s="262" t="s">
        <v>132</v>
      </c>
      <c r="Y194" s="181"/>
      <c r="Z194" s="218"/>
      <c r="AA194" s="165"/>
      <c r="AB194" s="165"/>
      <c r="AC194" s="165"/>
      <c r="AD194" s="165"/>
      <c r="AE194" s="165"/>
      <c r="AF194" s="165"/>
      <c r="AG194" s="165"/>
      <c r="AH194" s="165"/>
      <c r="AI194" s="165"/>
      <c r="AJ194" s="165"/>
      <c r="AK194" s="165"/>
      <c r="AL194" s="165"/>
      <c r="AM194" s="165"/>
      <c r="AN194" s="165"/>
      <c r="AO194" s="165"/>
      <c r="AP194" s="165"/>
      <c r="AQ194" s="165"/>
    </row>
    <row r="195" ht="15.75" customHeight="1" outlineLevel="1">
      <c r="A195" s="273" t="s">
        <v>176</v>
      </c>
      <c r="B195" s="378"/>
      <c r="C195" s="279" t="s">
        <v>322</v>
      </c>
      <c r="D195" s="277"/>
      <c r="E195" s="277"/>
      <c r="F195" s="278"/>
      <c r="G195" s="388" t="s">
        <v>317</v>
      </c>
      <c r="H195" s="254" t="s">
        <v>295</v>
      </c>
      <c r="I195" s="255"/>
      <c r="J195" s="380"/>
      <c r="K195" s="381"/>
      <c r="L195" s="382">
        <f t="shared" si="63"/>
        <v>1</v>
      </c>
      <c r="M195" s="383">
        <f t="shared" si="64"/>
        <v>2</v>
      </c>
      <c r="N195" s="384">
        <f t="shared" si="65"/>
        <v>3</v>
      </c>
      <c r="O195" s="385">
        <f t="shared" si="66"/>
        <v>4</v>
      </c>
      <c r="P195" s="386"/>
      <c r="Q195" s="386"/>
      <c r="R195" s="386"/>
      <c r="S195" s="386"/>
      <c r="T195" s="259"/>
      <c r="U195" s="260"/>
      <c r="V195" s="261"/>
      <c r="W195" s="261"/>
      <c r="X195" s="181"/>
      <c r="Y195" s="181"/>
      <c r="Z195" s="218"/>
      <c r="AA195" s="165"/>
      <c r="AB195" s="165"/>
      <c r="AC195" s="165"/>
      <c r="AD195" s="165"/>
      <c r="AE195" s="165"/>
      <c r="AF195" s="165"/>
      <c r="AG195" s="165"/>
      <c r="AH195" s="165"/>
      <c r="AI195" s="165"/>
      <c r="AJ195" s="165"/>
      <c r="AK195" s="165"/>
      <c r="AL195" s="165"/>
      <c r="AM195" s="165"/>
      <c r="AN195" s="165"/>
      <c r="AO195" s="165"/>
      <c r="AP195" s="165"/>
      <c r="AQ195" s="165"/>
    </row>
    <row r="196" ht="15.75" customHeight="1" outlineLevel="1">
      <c r="A196" s="273" t="s">
        <v>179</v>
      </c>
      <c r="B196" s="378"/>
      <c r="C196" s="279" t="s">
        <v>323</v>
      </c>
      <c r="D196" s="277"/>
      <c r="E196" s="277"/>
      <c r="F196" s="278"/>
      <c r="G196" s="388" t="s">
        <v>307</v>
      </c>
      <c r="H196" s="254" t="s">
        <v>291</v>
      </c>
      <c r="I196" s="255"/>
      <c r="J196" s="380"/>
      <c r="K196" s="381"/>
      <c r="L196" s="382">
        <f t="shared" si="63"/>
        <v>1</v>
      </c>
      <c r="M196" s="383">
        <f t="shared" si="64"/>
        <v>2</v>
      </c>
      <c r="N196" s="384">
        <f t="shared" si="65"/>
        <v>3</v>
      </c>
      <c r="O196" s="385">
        <f t="shared" si="66"/>
        <v>4</v>
      </c>
      <c r="P196" s="386"/>
      <c r="Q196" s="386"/>
      <c r="R196" s="386"/>
      <c r="S196" s="386"/>
      <c r="T196" s="259"/>
      <c r="U196" s="260"/>
      <c r="V196" s="261"/>
      <c r="W196" s="261"/>
      <c r="X196" s="181"/>
      <c r="Y196" s="181"/>
      <c r="Z196" s="218"/>
      <c r="AA196" s="165"/>
      <c r="AB196" s="165"/>
      <c r="AC196" s="165"/>
      <c r="AD196" s="165"/>
      <c r="AE196" s="165"/>
      <c r="AF196" s="165"/>
      <c r="AG196" s="165"/>
      <c r="AH196" s="165"/>
      <c r="AI196" s="165"/>
      <c r="AJ196" s="165"/>
      <c r="AK196" s="165"/>
      <c r="AL196" s="165"/>
      <c r="AM196" s="165"/>
      <c r="AN196" s="165"/>
      <c r="AO196" s="165"/>
      <c r="AP196" s="165"/>
      <c r="AQ196" s="165"/>
    </row>
    <row r="197" ht="15.75" customHeight="1" outlineLevel="1">
      <c r="A197" s="273" t="s">
        <v>182</v>
      </c>
      <c r="B197" s="378"/>
      <c r="C197" s="279" t="s">
        <v>324</v>
      </c>
      <c r="D197" s="277"/>
      <c r="E197" s="277"/>
      <c r="F197" s="278"/>
      <c r="G197" s="388" t="s">
        <v>58</v>
      </c>
      <c r="H197" s="254" t="s">
        <v>295</v>
      </c>
      <c r="I197" s="255"/>
      <c r="J197" s="380"/>
      <c r="K197" s="381"/>
      <c r="L197" s="382">
        <f t="shared" si="63"/>
        <v>1</v>
      </c>
      <c r="M197" s="383">
        <f t="shared" si="64"/>
        <v>2</v>
      </c>
      <c r="N197" s="384">
        <f t="shared" si="65"/>
        <v>3</v>
      </c>
      <c r="O197" s="385">
        <f t="shared" si="66"/>
        <v>4</v>
      </c>
      <c r="P197" s="386"/>
      <c r="Q197" s="386"/>
      <c r="R197" s="386"/>
      <c r="S197" s="386"/>
      <c r="T197" s="259"/>
      <c r="U197" s="260"/>
      <c r="V197" s="261"/>
      <c r="W197" s="261"/>
      <c r="X197" s="181"/>
      <c r="Y197" s="181"/>
      <c r="Z197" s="218"/>
      <c r="AA197" s="165"/>
      <c r="AB197" s="165"/>
      <c r="AC197" s="165"/>
      <c r="AD197" s="165"/>
      <c r="AE197" s="165"/>
      <c r="AF197" s="165"/>
      <c r="AG197" s="165"/>
      <c r="AH197" s="165"/>
      <c r="AI197" s="165"/>
      <c r="AJ197" s="165"/>
      <c r="AK197" s="165"/>
      <c r="AL197" s="165"/>
      <c r="AM197" s="165"/>
      <c r="AN197" s="165"/>
      <c r="AO197" s="165"/>
      <c r="AP197" s="165"/>
      <c r="AQ197" s="165"/>
    </row>
    <row r="198" ht="15.75" customHeight="1" outlineLevel="1">
      <c r="A198" s="273" t="s">
        <v>185</v>
      </c>
      <c r="B198" s="378"/>
      <c r="C198" s="279" t="s">
        <v>325</v>
      </c>
      <c r="D198" s="277"/>
      <c r="E198" s="277"/>
      <c r="F198" s="278"/>
      <c r="G198" s="388" t="s">
        <v>58</v>
      </c>
      <c r="H198" s="255" t="s">
        <v>291</v>
      </c>
      <c r="I198" s="255"/>
      <c r="J198" s="380"/>
      <c r="K198" s="381"/>
      <c r="L198" s="382">
        <f t="shared" si="63"/>
        <v>1</v>
      </c>
      <c r="M198" s="383">
        <f t="shared" si="64"/>
        <v>2</v>
      </c>
      <c r="N198" s="384">
        <f t="shared" si="65"/>
        <v>3</v>
      </c>
      <c r="O198" s="385">
        <f t="shared" si="66"/>
        <v>4</v>
      </c>
      <c r="P198" s="386"/>
      <c r="Q198" s="386"/>
      <c r="R198" s="386"/>
      <c r="S198" s="386"/>
      <c r="T198" s="259"/>
      <c r="U198" s="260"/>
      <c r="V198" s="261"/>
      <c r="W198" s="261"/>
      <c r="X198" s="181"/>
      <c r="Y198" s="181"/>
      <c r="Z198" s="218"/>
      <c r="AA198" s="165"/>
      <c r="AB198" s="165"/>
      <c r="AC198" s="165"/>
      <c r="AD198" s="165"/>
      <c r="AE198" s="165"/>
      <c r="AF198" s="165"/>
      <c r="AG198" s="165"/>
      <c r="AH198" s="165"/>
      <c r="AI198" s="165"/>
      <c r="AJ198" s="165"/>
      <c r="AK198" s="165"/>
      <c r="AL198" s="165"/>
      <c r="AM198" s="165"/>
      <c r="AN198" s="165"/>
      <c r="AO198" s="165"/>
      <c r="AP198" s="165"/>
      <c r="AQ198" s="165"/>
    </row>
    <row r="199" ht="15.75" customHeight="1" outlineLevel="1">
      <c r="A199" s="273" t="s">
        <v>188</v>
      </c>
      <c r="B199" s="378"/>
      <c r="C199" s="279" t="s">
        <v>326</v>
      </c>
      <c r="D199" s="277"/>
      <c r="E199" s="277"/>
      <c r="F199" s="278"/>
      <c r="G199" s="388" t="s">
        <v>58</v>
      </c>
      <c r="H199" s="254" t="s">
        <v>295</v>
      </c>
      <c r="I199" s="255"/>
      <c r="J199" s="380"/>
      <c r="K199" s="381"/>
      <c r="L199" s="382">
        <f t="shared" si="63"/>
        <v>1</v>
      </c>
      <c r="M199" s="383">
        <f t="shared" si="64"/>
        <v>2</v>
      </c>
      <c r="N199" s="384">
        <f t="shared" si="65"/>
        <v>3</v>
      </c>
      <c r="O199" s="385">
        <f t="shared" si="66"/>
        <v>4</v>
      </c>
      <c r="P199" s="386"/>
      <c r="Q199" s="386"/>
      <c r="R199" s="386"/>
      <c r="S199" s="386"/>
      <c r="T199" s="259"/>
      <c r="U199" s="260"/>
      <c r="V199" s="261"/>
      <c r="W199" s="261"/>
      <c r="X199" s="181"/>
      <c r="Y199" s="181"/>
      <c r="Z199" s="218"/>
      <c r="AA199" s="165"/>
      <c r="AB199" s="165"/>
      <c r="AC199" s="165"/>
      <c r="AD199" s="165"/>
      <c r="AE199" s="165"/>
      <c r="AF199" s="165"/>
      <c r="AG199" s="165"/>
      <c r="AH199" s="165"/>
      <c r="AI199" s="165"/>
      <c r="AJ199" s="165"/>
      <c r="AK199" s="165"/>
      <c r="AL199" s="165"/>
      <c r="AM199" s="165"/>
      <c r="AN199" s="165"/>
      <c r="AO199" s="165"/>
      <c r="AP199" s="165"/>
      <c r="AQ199" s="165"/>
    </row>
    <row r="200" ht="15.75" customHeight="1" outlineLevel="1">
      <c r="A200" s="273" t="s">
        <v>191</v>
      </c>
      <c r="B200" s="378"/>
      <c r="C200" s="279" t="s">
        <v>327</v>
      </c>
      <c r="D200" s="277"/>
      <c r="E200" s="277"/>
      <c r="F200" s="278"/>
      <c r="G200" s="388" t="s">
        <v>307</v>
      </c>
      <c r="H200" s="254" t="s">
        <v>291</v>
      </c>
      <c r="I200" s="255"/>
      <c r="J200" s="380"/>
      <c r="K200" s="381"/>
      <c r="L200" s="382">
        <f t="shared" si="63"/>
        <v>1</v>
      </c>
      <c r="M200" s="383">
        <f t="shared" si="64"/>
        <v>2</v>
      </c>
      <c r="N200" s="384">
        <f t="shared" si="65"/>
        <v>3</v>
      </c>
      <c r="O200" s="385">
        <f t="shared" si="66"/>
        <v>4</v>
      </c>
      <c r="P200" s="386"/>
      <c r="Q200" s="386"/>
      <c r="R200" s="386"/>
      <c r="S200" s="386"/>
      <c r="T200" s="304"/>
      <c r="U200" s="260"/>
      <c r="V200" s="261"/>
      <c r="W200" s="261"/>
      <c r="X200" s="181"/>
      <c r="Y200" s="181"/>
      <c r="Z200" s="218"/>
      <c r="AA200" s="165"/>
      <c r="AB200" s="165"/>
      <c r="AC200" s="165"/>
      <c r="AD200" s="165"/>
      <c r="AE200" s="165"/>
      <c r="AF200" s="165"/>
      <c r="AG200" s="165"/>
      <c r="AH200" s="165"/>
      <c r="AI200" s="165"/>
      <c r="AJ200" s="165"/>
      <c r="AK200" s="165"/>
      <c r="AL200" s="165"/>
      <c r="AM200" s="165"/>
      <c r="AN200" s="165"/>
      <c r="AO200" s="165"/>
      <c r="AP200" s="165"/>
      <c r="AQ200" s="165"/>
    </row>
    <row r="201" ht="15.75" customHeight="1" outlineLevel="1">
      <c r="A201" s="273" t="s">
        <v>328</v>
      </c>
      <c r="B201" s="378"/>
      <c r="C201" s="279" t="s">
        <v>329</v>
      </c>
      <c r="D201" s="277"/>
      <c r="E201" s="277"/>
      <c r="F201" s="278"/>
      <c r="G201" s="388" t="s">
        <v>330</v>
      </c>
      <c r="H201" s="254" t="s">
        <v>295</v>
      </c>
      <c r="I201" s="255"/>
      <c r="J201" s="380"/>
      <c r="K201" s="381"/>
      <c r="L201" s="382">
        <f t="shared" si="63"/>
        <v>1</v>
      </c>
      <c r="M201" s="383">
        <f t="shared" si="64"/>
        <v>2</v>
      </c>
      <c r="N201" s="384">
        <f t="shared" si="65"/>
        <v>3</v>
      </c>
      <c r="O201" s="385">
        <f t="shared" si="66"/>
        <v>4</v>
      </c>
      <c r="P201" s="398"/>
      <c r="Q201" s="398"/>
      <c r="R201" s="398"/>
      <c r="S201" s="398"/>
      <c r="T201" s="399"/>
      <c r="U201" s="260"/>
      <c r="V201" s="261"/>
      <c r="W201" s="261"/>
      <c r="X201" s="181"/>
      <c r="Y201" s="181"/>
      <c r="Z201" s="218"/>
      <c r="AA201" s="165"/>
      <c r="AB201" s="165"/>
      <c r="AC201" s="165"/>
      <c r="AD201" s="165"/>
      <c r="AE201" s="165"/>
      <c r="AF201" s="165"/>
      <c r="AG201" s="165"/>
      <c r="AH201" s="165"/>
      <c r="AI201" s="165"/>
      <c r="AJ201" s="165"/>
      <c r="AK201" s="165"/>
      <c r="AL201" s="165"/>
      <c r="AM201" s="165"/>
      <c r="AN201" s="165"/>
      <c r="AO201" s="165"/>
      <c r="AP201" s="165"/>
      <c r="AQ201" s="165"/>
    </row>
    <row r="202" ht="15.75" customHeight="1" outlineLevel="1">
      <c r="A202" s="273" t="s">
        <v>331</v>
      </c>
      <c r="B202" s="378"/>
      <c r="C202" s="279" t="s">
        <v>332</v>
      </c>
      <c r="D202" s="277"/>
      <c r="E202" s="277"/>
      <c r="F202" s="278"/>
      <c r="G202" s="388" t="s">
        <v>58</v>
      </c>
      <c r="H202" s="255" t="s">
        <v>291</v>
      </c>
      <c r="I202" s="255"/>
      <c r="J202" s="380"/>
      <c r="K202" s="381"/>
      <c r="L202" s="382">
        <f t="shared" si="63"/>
        <v>1</v>
      </c>
      <c r="M202" s="383">
        <f t="shared" si="64"/>
        <v>2</v>
      </c>
      <c r="N202" s="384">
        <f t="shared" si="65"/>
        <v>3</v>
      </c>
      <c r="O202" s="385">
        <f t="shared" si="66"/>
        <v>4</v>
      </c>
      <c r="P202" s="398"/>
      <c r="Q202" s="398"/>
      <c r="R202" s="398"/>
      <c r="S202" s="398"/>
      <c r="T202" s="399"/>
      <c r="U202" s="260"/>
      <c r="V202" s="261"/>
      <c r="W202" s="261"/>
      <c r="X202" s="181"/>
      <c r="Y202" s="181"/>
      <c r="Z202" s="218"/>
      <c r="AA202" s="165"/>
      <c r="AB202" s="165"/>
      <c r="AC202" s="165"/>
      <c r="AD202" s="165"/>
      <c r="AE202" s="165"/>
      <c r="AF202" s="165"/>
      <c r="AG202" s="165"/>
      <c r="AH202" s="165"/>
      <c r="AI202" s="165"/>
      <c r="AJ202" s="165"/>
      <c r="AK202" s="165"/>
      <c r="AL202" s="165"/>
      <c r="AM202" s="165"/>
      <c r="AN202" s="165"/>
      <c r="AO202" s="165"/>
      <c r="AP202" s="165"/>
      <c r="AQ202" s="165"/>
    </row>
    <row r="203" ht="15.75" customHeight="1" outlineLevel="1">
      <c r="A203" s="273" t="s">
        <v>333</v>
      </c>
      <c r="B203" s="378"/>
      <c r="C203" s="279" t="s">
        <v>334</v>
      </c>
      <c r="D203" s="277"/>
      <c r="E203" s="277"/>
      <c r="F203" s="278"/>
      <c r="G203" s="388" t="s">
        <v>309</v>
      </c>
      <c r="H203" s="254" t="s">
        <v>295</v>
      </c>
      <c r="I203" s="255"/>
      <c r="J203" s="380"/>
      <c r="K203" s="381"/>
      <c r="L203" s="382">
        <f t="shared" si="63"/>
        <v>1</v>
      </c>
      <c r="M203" s="383">
        <f t="shared" si="64"/>
        <v>2</v>
      </c>
      <c r="N203" s="384">
        <f t="shared" si="65"/>
        <v>3</v>
      </c>
      <c r="O203" s="385">
        <f t="shared" si="66"/>
        <v>4</v>
      </c>
      <c r="P203" s="386"/>
      <c r="Q203" s="386"/>
      <c r="R203" s="386"/>
      <c r="S203" s="386"/>
      <c r="T203" s="264"/>
      <c r="U203" s="260"/>
      <c r="V203" s="261"/>
      <c r="W203" s="261"/>
      <c r="X203" s="181"/>
      <c r="Y203" s="181"/>
      <c r="Z203" s="218"/>
      <c r="AA203" s="165"/>
      <c r="AB203" s="165"/>
      <c r="AC203" s="165"/>
      <c r="AD203" s="165"/>
      <c r="AE203" s="165"/>
      <c r="AF203" s="165"/>
      <c r="AG203" s="165"/>
      <c r="AH203" s="165"/>
      <c r="AI203" s="165"/>
      <c r="AJ203" s="165"/>
      <c r="AK203" s="165"/>
      <c r="AL203" s="165"/>
      <c r="AM203" s="165"/>
      <c r="AN203" s="165"/>
      <c r="AO203" s="165"/>
      <c r="AP203" s="165"/>
      <c r="AQ203" s="165"/>
    </row>
    <row r="204" ht="15.75" customHeight="1" outlineLevel="1">
      <c r="A204" s="273" t="s">
        <v>335</v>
      </c>
      <c r="B204" s="378"/>
      <c r="C204" s="279" t="s">
        <v>336</v>
      </c>
      <c r="D204" s="277"/>
      <c r="E204" s="277"/>
      <c r="F204" s="278"/>
      <c r="G204" s="379" t="s">
        <v>337</v>
      </c>
      <c r="H204" s="254" t="s">
        <v>314</v>
      </c>
      <c r="I204" s="268"/>
      <c r="J204" s="381"/>
      <c r="K204" s="381"/>
      <c r="L204" s="382">
        <f t="shared" si="63"/>
        <v>1</v>
      </c>
      <c r="M204" s="383">
        <f t="shared" si="64"/>
        <v>2</v>
      </c>
      <c r="N204" s="384">
        <f t="shared" si="65"/>
        <v>3</v>
      </c>
      <c r="O204" s="385">
        <f t="shared" si="66"/>
        <v>4</v>
      </c>
      <c r="P204" s="386"/>
      <c r="Q204" s="386"/>
      <c r="R204" s="386"/>
      <c r="S204" s="386"/>
      <c r="T204" s="264"/>
      <c r="U204" s="260"/>
      <c r="V204" s="261"/>
      <c r="W204" s="261"/>
      <c r="X204" s="181"/>
      <c r="Y204" s="181"/>
      <c r="Z204" s="218"/>
      <c r="AA204" s="165"/>
      <c r="AB204" s="165"/>
      <c r="AC204" s="165"/>
      <c r="AD204" s="165"/>
      <c r="AE204" s="165"/>
      <c r="AF204" s="165"/>
      <c r="AG204" s="165"/>
      <c r="AH204" s="165"/>
      <c r="AI204" s="165"/>
      <c r="AJ204" s="165"/>
      <c r="AK204" s="165"/>
      <c r="AL204" s="165"/>
      <c r="AM204" s="165"/>
      <c r="AN204" s="165"/>
      <c r="AO204" s="165"/>
      <c r="AP204" s="165"/>
      <c r="AQ204" s="165"/>
    </row>
    <row r="205" ht="15.75" customHeight="1" outlineLevel="1">
      <c r="A205" s="280"/>
      <c r="B205" s="400"/>
      <c r="C205" s="400"/>
      <c r="D205" s="400"/>
      <c r="E205" s="400"/>
      <c r="F205" s="400"/>
      <c r="G205" s="199"/>
      <c r="H205" s="283"/>
      <c r="I205" s="268"/>
      <c r="J205" s="396"/>
      <c r="K205" s="396"/>
      <c r="L205" s="397"/>
      <c r="M205" s="397"/>
      <c r="N205" s="397"/>
      <c r="O205" s="397"/>
      <c r="P205" s="386"/>
      <c r="Q205" s="386"/>
      <c r="R205" s="386"/>
      <c r="S205" s="386"/>
      <c r="T205" s="264"/>
      <c r="U205" s="260"/>
      <c r="V205" s="261"/>
      <c r="W205" s="261"/>
      <c r="X205" s="181"/>
      <c r="Y205" s="181"/>
      <c r="Z205" s="218"/>
      <c r="AA205" s="165"/>
      <c r="AB205" s="165"/>
      <c r="AC205" s="165"/>
      <c r="AD205" s="165"/>
      <c r="AE205" s="165"/>
      <c r="AF205" s="165"/>
      <c r="AG205" s="165"/>
      <c r="AH205" s="165"/>
      <c r="AI205" s="165"/>
      <c r="AJ205" s="165"/>
      <c r="AK205" s="165"/>
      <c r="AL205" s="165"/>
      <c r="AM205" s="165"/>
      <c r="AN205" s="165"/>
      <c r="AO205" s="165"/>
      <c r="AP205" s="165"/>
      <c r="AQ205" s="165"/>
    </row>
    <row r="206" ht="15.75" customHeight="1">
      <c r="A206" s="371">
        <v>6.0</v>
      </c>
      <c r="B206" s="401"/>
      <c r="C206" s="402" t="s">
        <v>338</v>
      </c>
      <c r="D206" s="226"/>
      <c r="E206" s="226"/>
      <c r="F206" s="227"/>
      <c r="G206" s="271"/>
      <c r="H206" s="287"/>
      <c r="I206" s="231"/>
      <c r="J206" s="372"/>
      <c r="K206" s="372"/>
      <c r="L206" s="373">
        <f t="shared" ref="L206:O206" si="67">AVERAGEIF(L208:L219,"&gt;= 0")</f>
        <v>1</v>
      </c>
      <c r="M206" s="373">
        <f t="shared" si="67"/>
        <v>2</v>
      </c>
      <c r="N206" s="373">
        <f t="shared" si="67"/>
        <v>3</v>
      </c>
      <c r="O206" s="373">
        <f t="shared" si="67"/>
        <v>4</v>
      </c>
      <c r="P206" s="374"/>
      <c r="Q206" s="374"/>
      <c r="R206" s="374"/>
      <c r="S206" s="374"/>
      <c r="T206" s="236"/>
      <c r="U206" s="260"/>
      <c r="V206" s="261"/>
      <c r="W206" s="261"/>
      <c r="X206" s="181"/>
      <c r="Y206" s="181"/>
      <c r="Z206" s="218"/>
      <c r="AA206" s="365"/>
      <c r="AB206" s="365"/>
      <c r="AC206" s="365"/>
      <c r="AD206" s="365"/>
      <c r="AE206" s="365"/>
      <c r="AF206" s="365"/>
      <c r="AG206" s="365"/>
      <c r="AH206" s="365"/>
      <c r="AI206" s="365"/>
      <c r="AJ206" s="365"/>
      <c r="AK206" s="365"/>
      <c r="AL206" s="365"/>
      <c r="AM206" s="365"/>
      <c r="AN206" s="365"/>
      <c r="AO206" s="365"/>
      <c r="AP206" s="365"/>
      <c r="AQ206" s="365"/>
    </row>
    <row r="207" ht="15.75" customHeight="1" outlineLevel="1">
      <c r="A207" s="237"/>
      <c r="B207" s="403"/>
      <c r="C207" s="403"/>
      <c r="D207" s="403"/>
      <c r="E207" s="403"/>
      <c r="F207" s="403"/>
      <c r="G207" s="241"/>
      <c r="H207" s="139"/>
      <c r="I207" s="242"/>
      <c r="J207" s="375"/>
      <c r="K207" s="375"/>
      <c r="L207" s="376"/>
      <c r="M207" s="376"/>
      <c r="N207" s="376"/>
      <c r="O207" s="376"/>
      <c r="P207" s="377"/>
      <c r="Q207" s="377"/>
      <c r="R207" s="377"/>
      <c r="S207" s="377"/>
      <c r="T207" s="247"/>
      <c r="U207" s="260"/>
      <c r="V207" s="261"/>
      <c r="W207" s="261"/>
      <c r="X207" s="181"/>
      <c r="Y207" s="181"/>
      <c r="Z207" s="218"/>
      <c r="AA207" s="165"/>
      <c r="AB207" s="165"/>
      <c r="AC207" s="165"/>
      <c r="AD207" s="165"/>
      <c r="AE207" s="165"/>
      <c r="AF207" s="165"/>
      <c r="AG207" s="165"/>
      <c r="AH207" s="165"/>
      <c r="AI207" s="165"/>
      <c r="AJ207" s="165"/>
      <c r="AK207" s="165"/>
      <c r="AL207" s="165"/>
      <c r="AM207" s="165"/>
      <c r="AN207" s="165"/>
      <c r="AO207" s="165"/>
      <c r="AP207" s="165"/>
      <c r="AQ207" s="165"/>
    </row>
    <row r="208" ht="15.75" customHeight="1" outlineLevel="1">
      <c r="A208" s="273" t="s">
        <v>197</v>
      </c>
      <c r="B208" s="378"/>
      <c r="C208" s="279" t="s">
        <v>339</v>
      </c>
      <c r="D208" s="277"/>
      <c r="E208" s="277"/>
      <c r="F208" s="278"/>
      <c r="G208" s="388" t="s">
        <v>309</v>
      </c>
      <c r="H208" s="254" t="s">
        <v>291</v>
      </c>
      <c r="I208" s="255"/>
      <c r="J208" s="380"/>
      <c r="K208" s="381"/>
      <c r="L208" s="382">
        <f t="shared" ref="L208:L219" si="68">1</f>
        <v>1</v>
      </c>
      <c r="M208" s="383">
        <f t="shared" ref="M208:M219" si="69">2</f>
        <v>2</v>
      </c>
      <c r="N208" s="384">
        <f t="shared" ref="N208:N219" si="70">3</f>
        <v>3</v>
      </c>
      <c r="O208" s="385">
        <f t="shared" ref="O208:O219" si="71">4</f>
        <v>4</v>
      </c>
      <c r="P208" s="386"/>
      <c r="Q208" s="386"/>
      <c r="R208" s="386"/>
      <c r="S208" s="386"/>
      <c r="T208" s="304"/>
      <c r="U208" s="389" t="s">
        <v>340</v>
      </c>
      <c r="V208" s="387" t="s">
        <v>341</v>
      </c>
      <c r="W208" s="261"/>
      <c r="X208" s="262" t="s">
        <v>132</v>
      </c>
      <c r="Y208" s="181"/>
      <c r="Z208" s="218"/>
      <c r="AA208" s="165"/>
      <c r="AB208" s="165"/>
      <c r="AC208" s="165"/>
      <c r="AD208" s="165"/>
      <c r="AE208" s="165"/>
      <c r="AF208" s="165"/>
      <c r="AG208" s="165"/>
      <c r="AH208" s="165"/>
      <c r="AI208" s="165"/>
      <c r="AJ208" s="165"/>
      <c r="AK208" s="165"/>
      <c r="AL208" s="165"/>
      <c r="AM208" s="165"/>
      <c r="AN208" s="165"/>
      <c r="AO208" s="165"/>
      <c r="AP208" s="165"/>
      <c r="AQ208" s="165"/>
    </row>
    <row r="209" ht="15.75" customHeight="1" outlineLevel="1">
      <c r="A209" s="273" t="s">
        <v>197</v>
      </c>
      <c r="B209" s="378"/>
      <c r="C209" s="279" t="s">
        <v>342</v>
      </c>
      <c r="D209" s="277"/>
      <c r="E209" s="277"/>
      <c r="F209" s="278"/>
      <c r="G209" s="388" t="s">
        <v>294</v>
      </c>
      <c r="H209" s="254" t="s">
        <v>295</v>
      </c>
      <c r="I209" s="255"/>
      <c r="J209" s="404"/>
      <c r="K209" s="405"/>
      <c r="L209" s="382">
        <f t="shared" si="68"/>
        <v>1</v>
      </c>
      <c r="M209" s="383">
        <f t="shared" si="69"/>
        <v>2</v>
      </c>
      <c r="N209" s="384">
        <f t="shared" si="70"/>
        <v>3</v>
      </c>
      <c r="O209" s="385">
        <f t="shared" si="71"/>
        <v>4</v>
      </c>
      <c r="P209" s="390"/>
      <c r="Q209" s="390"/>
      <c r="R209" s="390"/>
      <c r="S209" s="390"/>
      <c r="T209" s="391"/>
      <c r="U209" s="260"/>
      <c r="V209" s="261"/>
      <c r="W209" s="261"/>
      <c r="X209" s="181"/>
      <c r="Y209" s="181"/>
      <c r="Z209" s="218"/>
      <c r="AA209" s="165"/>
      <c r="AB209" s="165"/>
      <c r="AC209" s="165"/>
      <c r="AD209" s="165"/>
      <c r="AE209" s="165"/>
      <c r="AF209" s="165"/>
      <c r="AG209" s="165"/>
      <c r="AH209" s="165"/>
      <c r="AI209" s="165"/>
      <c r="AJ209" s="165"/>
      <c r="AK209" s="165"/>
      <c r="AL209" s="165"/>
      <c r="AM209" s="165"/>
      <c r="AN209" s="165"/>
      <c r="AO209" s="165"/>
      <c r="AP209" s="165"/>
      <c r="AQ209" s="165"/>
    </row>
    <row r="210" ht="15.75" customHeight="1" outlineLevel="1">
      <c r="A210" s="273" t="s">
        <v>200</v>
      </c>
      <c r="B210" s="378"/>
      <c r="C210" s="279" t="s">
        <v>343</v>
      </c>
      <c r="D210" s="277"/>
      <c r="E210" s="277"/>
      <c r="F210" s="278"/>
      <c r="G210" s="388" t="s">
        <v>58</v>
      </c>
      <c r="H210" s="254" t="s">
        <v>291</v>
      </c>
      <c r="I210" s="255"/>
      <c r="J210" s="380"/>
      <c r="K210" s="381"/>
      <c r="L210" s="382">
        <f t="shared" si="68"/>
        <v>1</v>
      </c>
      <c r="M210" s="383">
        <f t="shared" si="69"/>
        <v>2</v>
      </c>
      <c r="N210" s="384">
        <f t="shared" si="70"/>
        <v>3</v>
      </c>
      <c r="O210" s="385">
        <f t="shared" si="71"/>
        <v>4</v>
      </c>
      <c r="P210" s="390"/>
      <c r="Q210" s="390"/>
      <c r="R210" s="390"/>
      <c r="S210" s="390"/>
      <c r="T210" s="391"/>
      <c r="U210" s="260"/>
      <c r="V210" s="261"/>
      <c r="W210" s="261"/>
      <c r="X210" s="181"/>
      <c r="Y210" s="181"/>
      <c r="Z210" s="218"/>
      <c r="AA210" s="165"/>
      <c r="AB210" s="165"/>
      <c r="AC210" s="165"/>
      <c r="AD210" s="165"/>
      <c r="AE210" s="165"/>
      <c r="AF210" s="165"/>
      <c r="AG210" s="165"/>
      <c r="AH210" s="165"/>
      <c r="AI210" s="165"/>
      <c r="AJ210" s="165"/>
      <c r="AK210" s="165"/>
      <c r="AL210" s="165"/>
      <c r="AM210" s="165"/>
      <c r="AN210" s="165"/>
      <c r="AO210" s="165"/>
      <c r="AP210" s="165"/>
      <c r="AQ210" s="165"/>
    </row>
    <row r="211" ht="15.75" customHeight="1" outlineLevel="1">
      <c r="A211" s="273" t="s">
        <v>203</v>
      </c>
      <c r="B211" s="378"/>
      <c r="C211" s="279" t="s">
        <v>344</v>
      </c>
      <c r="D211" s="277"/>
      <c r="E211" s="277"/>
      <c r="F211" s="278"/>
      <c r="G211" s="388" t="s">
        <v>299</v>
      </c>
      <c r="H211" s="254" t="s">
        <v>295</v>
      </c>
      <c r="I211" s="255"/>
      <c r="J211" s="380"/>
      <c r="K211" s="381"/>
      <c r="L211" s="382">
        <f t="shared" si="68"/>
        <v>1</v>
      </c>
      <c r="M211" s="383">
        <f t="shared" si="69"/>
        <v>2</v>
      </c>
      <c r="N211" s="384">
        <f t="shared" si="70"/>
        <v>3</v>
      </c>
      <c r="O211" s="385">
        <f t="shared" si="71"/>
        <v>4</v>
      </c>
      <c r="P211" s="390"/>
      <c r="Q211" s="390"/>
      <c r="R211" s="390"/>
      <c r="S211" s="390"/>
      <c r="T211" s="391"/>
      <c r="U211" s="260"/>
      <c r="V211" s="261"/>
      <c r="W211" s="261"/>
      <c r="X211" s="181"/>
      <c r="Y211" s="181"/>
      <c r="Z211" s="218"/>
      <c r="AA211" s="165"/>
      <c r="AB211" s="165"/>
      <c r="AC211" s="165"/>
      <c r="AD211" s="165"/>
      <c r="AE211" s="165"/>
      <c r="AF211" s="165"/>
      <c r="AG211" s="165"/>
      <c r="AH211" s="165"/>
      <c r="AI211" s="165"/>
      <c r="AJ211" s="165"/>
      <c r="AK211" s="165"/>
      <c r="AL211" s="165"/>
      <c r="AM211" s="165"/>
      <c r="AN211" s="165"/>
      <c r="AO211" s="165"/>
      <c r="AP211" s="165"/>
      <c r="AQ211" s="165"/>
    </row>
    <row r="212" ht="15.75" customHeight="1" outlineLevel="1">
      <c r="A212" s="273" t="s">
        <v>206</v>
      </c>
      <c r="B212" s="378"/>
      <c r="C212" s="279" t="s">
        <v>345</v>
      </c>
      <c r="D212" s="277"/>
      <c r="E212" s="277"/>
      <c r="F212" s="278"/>
      <c r="G212" s="388" t="s">
        <v>330</v>
      </c>
      <c r="H212" s="255" t="s">
        <v>291</v>
      </c>
      <c r="I212" s="255"/>
      <c r="J212" s="380"/>
      <c r="K212" s="381"/>
      <c r="L212" s="382">
        <f t="shared" si="68"/>
        <v>1</v>
      </c>
      <c r="M212" s="383">
        <f t="shared" si="69"/>
        <v>2</v>
      </c>
      <c r="N212" s="384">
        <f t="shared" si="70"/>
        <v>3</v>
      </c>
      <c r="O212" s="385">
        <f t="shared" si="71"/>
        <v>4</v>
      </c>
      <c r="P212" s="390"/>
      <c r="Q212" s="390"/>
      <c r="R212" s="390"/>
      <c r="S212" s="390"/>
      <c r="T212" s="391"/>
      <c r="U212" s="260"/>
      <c r="V212" s="261"/>
      <c r="W212" s="261"/>
      <c r="X212" s="181"/>
      <c r="Y212" s="181"/>
      <c r="Z212" s="218"/>
      <c r="AA212" s="165"/>
      <c r="AB212" s="165"/>
      <c r="AC212" s="165"/>
      <c r="AD212" s="165"/>
      <c r="AE212" s="165"/>
      <c r="AF212" s="165"/>
      <c r="AG212" s="165"/>
      <c r="AH212" s="165"/>
      <c r="AI212" s="165"/>
      <c r="AJ212" s="165"/>
      <c r="AK212" s="165"/>
      <c r="AL212" s="165"/>
      <c r="AM212" s="165"/>
      <c r="AN212" s="165"/>
      <c r="AO212" s="165"/>
      <c r="AP212" s="165"/>
      <c r="AQ212" s="165"/>
    </row>
    <row r="213" ht="15.75" customHeight="1" outlineLevel="1">
      <c r="A213" s="273" t="s">
        <v>209</v>
      </c>
      <c r="B213" s="378"/>
      <c r="C213" s="279" t="s">
        <v>346</v>
      </c>
      <c r="D213" s="277"/>
      <c r="E213" s="277"/>
      <c r="F213" s="278"/>
      <c r="G213" s="388" t="s">
        <v>307</v>
      </c>
      <c r="H213" s="254" t="s">
        <v>295</v>
      </c>
      <c r="I213" s="255"/>
      <c r="J213" s="380"/>
      <c r="K213" s="381"/>
      <c r="L213" s="382">
        <f t="shared" si="68"/>
        <v>1</v>
      </c>
      <c r="M213" s="383">
        <f t="shared" si="69"/>
        <v>2</v>
      </c>
      <c r="N213" s="384">
        <f t="shared" si="70"/>
        <v>3</v>
      </c>
      <c r="O213" s="385">
        <f t="shared" si="71"/>
        <v>4</v>
      </c>
      <c r="P213" s="390"/>
      <c r="Q213" s="390"/>
      <c r="R213" s="390"/>
      <c r="S213" s="390"/>
      <c r="T213" s="391"/>
      <c r="U213" s="260"/>
      <c r="V213" s="261"/>
      <c r="W213" s="261"/>
      <c r="X213" s="181"/>
      <c r="Y213" s="181"/>
      <c r="Z213" s="218"/>
      <c r="AA213" s="165"/>
      <c r="AB213" s="165"/>
      <c r="AC213" s="165"/>
      <c r="AD213" s="165"/>
      <c r="AE213" s="165"/>
      <c r="AF213" s="165"/>
      <c r="AG213" s="165"/>
      <c r="AH213" s="165"/>
      <c r="AI213" s="165"/>
      <c r="AJ213" s="165"/>
      <c r="AK213" s="165"/>
      <c r="AL213" s="165"/>
      <c r="AM213" s="165"/>
      <c r="AN213" s="165"/>
      <c r="AO213" s="165"/>
      <c r="AP213" s="165"/>
      <c r="AQ213" s="165"/>
    </row>
    <row r="214" ht="15.75" customHeight="1" outlineLevel="1">
      <c r="A214" s="273" t="s">
        <v>212</v>
      </c>
      <c r="B214" s="378"/>
      <c r="C214" s="279" t="s">
        <v>347</v>
      </c>
      <c r="D214" s="277"/>
      <c r="E214" s="277"/>
      <c r="F214" s="278"/>
      <c r="G214" s="388" t="s">
        <v>58</v>
      </c>
      <c r="H214" s="254" t="s">
        <v>291</v>
      </c>
      <c r="I214" s="255"/>
      <c r="J214" s="380"/>
      <c r="K214" s="381"/>
      <c r="L214" s="382">
        <f t="shared" si="68"/>
        <v>1</v>
      </c>
      <c r="M214" s="383">
        <f t="shared" si="69"/>
        <v>2</v>
      </c>
      <c r="N214" s="384">
        <f t="shared" si="70"/>
        <v>3</v>
      </c>
      <c r="O214" s="385">
        <f t="shared" si="71"/>
        <v>4</v>
      </c>
      <c r="P214" s="390"/>
      <c r="Q214" s="390"/>
      <c r="R214" s="390"/>
      <c r="S214" s="390"/>
      <c r="T214" s="391"/>
      <c r="U214" s="260"/>
      <c r="V214" s="261"/>
      <c r="W214" s="261"/>
      <c r="X214" s="181"/>
      <c r="Y214" s="181"/>
      <c r="Z214" s="218"/>
      <c r="AA214" s="165"/>
      <c r="AB214" s="165"/>
      <c r="AC214" s="165"/>
      <c r="AD214" s="165"/>
      <c r="AE214" s="165"/>
      <c r="AF214" s="165"/>
      <c r="AG214" s="165"/>
      <c r="AH214" s="165"/>
      <c r="AI214" s="165"/>
      <c r="AJ214" s="165"/>
      <c r="AK214" s="165"/>
      <c r="AL214" s="165"/>
      <c r="AM214" s="165"/>
      <c r="AN214" s="165"/>
      <c r="AO214" s="165"/>
      <c r="AP214" s="165"/>
      <c r="AQ214" s="165"/>
    </row>
    <row r="215" ht="15.75" customHeight="1" outlineLevel="1">
      <c r="A215" s="273" t="s">
        <v>215</v>
      </c>
      <c r="B215" s="378"/>
      <c r="C215" s="279" t="s">
        <v>348</v>
      </c>
      <c r="D215" s="277"/>
      <c r="E215" s="277"/>
      <c r="F215" s="278"/>
      <c r="G215" s="388" t="s">
        <v>309</v>
      </c>
      <c r="H215" s="254" t="s">
        <v>291</v>
      </c>
      <c r="I215" s="255"/>
      <c r="J215" s="380"/>
      <c r="K215" s="381"/>
      <c r="L215" s="382">
        <f t="shared" si="68"/>
        <v>1</v>
      </c>
      <c r="M215" s="383">
        <f t="shared" si="69"/>
        <v>2</v>
      </c>
      <c r="N215" s="384">
        <f t="shared" si="70"/>
        <v>3</v>
      </c>
      <c r="O215" s="385">
        <f t="shared" si="71"/>
        <v>4</v>
      </c>
      <c r="P215" s="390"/>
      <c r="Q215" s="390"/>
      <c r="R215" s="390"/>
      <c r="S215" s="390"/>
      <c r="T215" s="392"/>
      <c r="U215" s="260"/>
      <c r="V215" s="261"/>
      <c r="W215" s="261"/>
      <c r="X215" s="181"/>
      <c r="Y215" s="181"/>
      <c r="Z215" s="218"/>
      <c r="AA215" s="165"/>
      <c r="AB215" s="165"/>
      <c r="AC215" s="165"/>
      <c r="AD215" s="165"/>
      <c r="AE215" s="165"/>
      <c r="AF215" s="165"/>
      <c r="AG215" s="165"/>
      <c r="AH215" s="165"/>
      <c r="AI215" s="165"/>
      <c r="AJ215" s="165"/>
      <c r="AK215" s="165"/>
      <c r="AL215" s="165"/>
      <c r="AM215" s="165"/>
      <c r="AN215" s="165"/>
      <c r="AO215" s="165"/>
      <c r="AP215" s="165"/>
      <c r="AQ215" s="165"/>
    </row>
    <row r="216" ht="15.75" customHeight="1">
      <c r="A216" s="273" t="s">
        <v>218</v>
      </c>
      <c r="B216" s="378"/>
      <c r="C216" s="279" t="s">
        <v>349</v>
      </c>
      <c r="D216" s="277"/>
      <c r="E216" s="277"/>
      <c r="F216" s="278"/>
      <c r="G216" s="388" t="s">
        <v>58</v>
      </c>
      <c r="H216" s="254" t="s">
        <v>295</v>
      </c>
      <c r="I216" s="255"/>
      <c r="J216" s="380"/>
      <c r="K216" s="381"/>
      <c r="L216" s="382">
        <f t="shared" si="68"/>
        <v>1</v>
      </c>
      <c r="M216" s="383">
        <f t="shared" si="69"/>
        <v>2</v>
      </c>
      <c r="N216" s="384">
        <f t="shared" si="70"/>
        <v>3</v>
      </c>
      <c r="O216" s="385">
        <f t="shared" si="71"/>
        <v>4</v>
      </c>
      <c r="P216" s="406"/>
      <c r="Q216" s="406"/>
      <c r="R216" s="406"/>
      <c r="S216" s="406"/>
      <c r="T216" s="160"/>
      <c r="U216" s="260"/>
      <c r="V216" s="261"/>
      <c r="W216" s="261"/>
      <c r="X216" s="181"/>
      <c r="Y216" s="181"/>
      <c r="Z216" s="218"/>
      <c r="AA216" s="165"/>
      <c r="AB216" s="165"/>
      <c r="AC216" s="165"/>
      <c r="AD216" s="165"/>
      <c r="AE216" s="165"/>
      <c r="AF216" s="165"/>
      <c r="AG216" s="165"/>
      <c r="AH216" s="165"/>
      <c r="AI216" s="165"/>
      <c r="AJ216" s="165"/>
      <c r="AK216" s="165"/>
      <c r="AL216" s="165"/>
      <c r="AM216" s="165"/>
      <c r="AN216" s="165"/>
      <c r="AO216" s="165"/>
      <c r="AP216" s="165"/>
      <c r="AQ216" s="165"/>
    </row>
    <row r="217" ht="15.75" customHeight="1">
      <c r="A217" s="273" t="s">
        <v>221</v>
      </c>
      <c r="B217" s="378"/>
      <c r="C217" s="279" t="s">
        <v>350</v>
      </c>
      <c r="D217" s="277"/>
      <c r="E217" s="277"/>
      <c r="F217" s="278"/>
      <c r="G217" s="388" t="s">
        <v>309</v>
      </c>
      <c r="H217" s="255" t="s">
        <v>291</v>
      </c>
      <c r="I217" s="255"/>
      <c r="J217" s="380"/>
      <c r="K217" s="381"/>
      <c r="L217" s="382">
        <f t="shared" si="68"/>
        <v>1</v>
      </c>
      <c r="M217" s="383">
        <f t="shared" si="69"/>
        <v>2</v>
      </c>
      <c r="N217" s="384">
        <f t="shared" si="70"/>
        <v>3</v>
      </c>
      <c r="O217" s="385">
        <f t="shared" si="71"/>
        <v>4</v>
      </c>
      <c r="P217" s="406"/>
      <c r="Q217" s="406"/>
      <c r="R217" s="406"/>
      <c r="S217" s="406"/>
      <c r="T217" s="160"/>
      <c r="U217" s="260"/>
      <c r="V217" s="261"/>
      <c r="W217" s="261"/>
      <c r="X217" s="181"/>
      <c r="Y217" s="181"/>
      <c r="Z217" s="218"/>
      <c r="AA217" s="165"/>
      <c r="AB217" s="165"/>
      <c r="AC217" s="165"/>
      <c r="AD217" s="165"/>
      <c r="AE217" s="165"/>
      <c r="AF217" s="165"/>
      <c r="AG217" s="165"/>
      <c r="AH217" s="165"/>
      <c r="AI217" s="165"/>
      <c r="AJ217" s="165"/>
      <c r="AK217" s="165"/>
      <c r="AL217" s="165"/>
      <c r="AM217" s="165"/>
      <c r="AN217" s="165"/>
      <c r="AO217" s="165"/>
      <c r="AP217" s="165"/>
      <c r="AQ217" s="165"/>
    </row>
    <row r="218" ht="15.75" customHeight="1">
      <c r="A218" s="273" t="s">
        <v>351</v>
      </c>
      <c r="B218" s="378"/>
      <c r="C218" s="279" t="s">
        <v>352</v>
      </c>
      <c r="D218" s="277"/>
      <c r="E218" s="277"/>
      <c r="F218" s="278"/>
      <c r="G218" s="388" t="s">
        <v>58</v>
      </c>
      <c r="H218" s="254" t="s">
        <v>295</v>
      </c>
      <c r="I218" s="339"/>
      <c r="J218" s="380"/>
      <c r="K218" s="381"/>
      <c r="L218" s="382">
        <f t="shared" si="68"/>
        <v>1</v>
      </c>
      <c r="M218" s="383">
        <f t="shared" si="69"/>
        <v>2</v>
      </c>
      <c r="N218" s="384">
        <f t="shared" si="70"/>
        <v>3</v>
      </c>
      <c r="O218" s="385">
        <f t="shared" si="71"/>
        <v>4</v>
      </c>
      <c r="P218" s="406"/>
      <c r="Q218" s="406"/>
      <c r="R218" s="406"/>
      <c r="S218" s="406"/>
      <c r="T218" s="160"/>
      <c r="U218" s="260"/>
      <c r="V218" s="261"/>
      <c r="W218" s="261"/>
      <c r="X218" s="181"/>
      <c r="Y218" s="181"/>
      <c r="Z218" s="218"/>
      <c r="AA218" s="165"/>
      <c r="AB218" s="165"/>
      <c r="AC218" s="165"/>
      <c r="AD218" s="165"/>
      <c r="AE218" s="165"/>
      <c r="AF218" s="165"/>
      <c r="AG218" s="165"/>
      <c r="AH218" s="165"/>
      <c r="AI218" s="165"/>
      <c r="AJ218" s="165"/>
      <c r="AK218" s="165"/>
      <c r="AL218" s="165"/>
      <c r="AM218" s="165"/>
      <c r="AN218" s="165"/>
      <c r="AO218" s="165"/>
      <c r="AP218" s="165"/>
      <c r="AQ218" s="165"/>
    </row>
    <row r="219" ht="15.75" customHeight="1">
      <c r="A219" s="273" t="s">
        <v>353</v>
      </c>
      <c r="B219" s="378"/>
      <c r="C219" s="279" t="s">
        <v>354</v>
      </c>
      <c r="D219" s="277"/>
      <c r="E219" s="277"/>
      <c r="F219" s="278"/>
      <c r="G219" s="388" t="s">
        <v>60</v>
      </c>
      <c r="H219" s="254" t="s">
        <v>314</v>
      </c>
      <c r="I219" s="268"/>
      <c r="J219" s="381"/>
      <c r="K219" s="381"/>
      <c r="L219" s="382">
        <f t="shared" si="68"/>
        <v>1</v>
      </c>
      <c r="M219" s="383">
        <f t="shared" si="69"/>
        <v>2</v>
      </c>
      <c r="N219" s="384">
        <f t="shared" si="70"/>
        <v>3</v>
      </c>
      <c r="O219" s="385">
        <f t="shared" si="71"/>
        <v>4</v>
      </c>
      <c r="P219" s="406"/>
      <c r="Q219" s="406"/>
      <c r="R219" s="406"/>
      <c r="S219" s="406"/>
      <c r="T219" s="160"/>
      <c r="U219" s="260"/>
      <c r="V219" s="261"/>
      <c r="W219" s="261"/>
      <c r="X219" s="181"/>
      <c r="Y219" s="181"/>
      <c r="Z219" s="218"/>
      <c r="AA219" s="165"/>
      <c r="AB219" s="165"/>
      <c r="AC219" s="165"/>
      <c r="AD219" s="165"/>
      <c r="AE219" s="165"/>
      <c r="AF219" s="165"/>
      <c r="AG219" s="165"/>
      <c r="AH219" s="165"/>
      <c r="AI219" s="165"/>
      <c r="AJ219" s="165"/>
      <c r="AK219" s="165"/>
      <c r="AL219" s="165"/>
      <c r="AM219" s="165"/>
      <c r="AN219" s="165"/>
      <c r="AO219" s="165"/>
      <c r="AP219" s="165"/>
      <c r="AQ219" s="165"/>
    </row>
    <row r="220" ht="15.75" customHeight="1">
      <c r="A220" s="280"/>
      <c r="B220" s="407"/>
      <c r="C220" s="407"/>
      <c r="D220" s="407"/>
      <c r="E220" s="407"/>
      <c r="F220" s="407"/>
      <c r="G220" s="408"/>
      <c r="H220" s="409"/>
      <c r="I220" s="268"/>
      <c r="J220" s="396"/>
      <c r="K220" s="396"/>
      <c r="L220" s="397"/>
      <c r="M220" s="397"/>
      <c r="N220" s="397"/>
      <c r="O220" s="397"/>
      <c r="P220" s="406"/>
      <c r="Q220" s="406"/>
      <c r="R220" s="406"/>
      <c r="S220" s="406"/>
      <c r="T220" s="160"/>
      <c r="U220" s="260"/>
      <c r="V220" s="261"/>
      <c r="W220" s="261"/>
      <c r="X220" s="181"/>
      <c r="Y220" s="181"/>
      <c r="Z220" s="218"/>
      <c r="AA220" s="165"/>
      <c r="AB220" s="165"/>
      <c r="AC220" s="165"/>
      <c r="AD220" s="165"/>
      <c r="AE220" s="165"/>
      <c r="AF220" s="165"/>
      <c r="AG220" s="165"/>
      <c r="AH220" s="165"/>
      <c r="AI220" s="165"/>
      <c r="AJ220" s="165"/>
      <c r="AK220" s="165"/>
      <c r="AL220" s="165"/>
      <c r="AM220" s="165"/>
      <c r="AN220" s="165"/>
      <c r="AO220" s="165"/>
      <c r="AP220" s="165"/>
      <c r="AQ220" s="165"/>
    </row>
    <row r="221" ht="15.75" customHeight="1">
      <c r="A221" s="371">
        <v>7.0</v>
      </c>
      <c r="B221" s="401"/>
      <c r="C221" s="402" t="s">
        <v>355</v>
      </c>
      <c r="D221" s="226"/>
      <c r="E221" s="226"/>
      <c r="F221" s="227"/>
      <c r="G221" s="271"/>
      <c r="H221" s="287"/>
      <c r="I221" s="231"/>
      <c r="J221" s="372"/>
      <c r="K221" s="372"/>
      <c r="L221" s="373">
        <f t="shared" ref="L221:O221" si="72">AVERAGEIF(L223:L232,"&gt;= 0")</f>
        <v>1</v>
      </c>
      <c r="M221" s="373">
        <f t="shared" si="72"/>
        <v>2</v>
      </c>
      <c r="N221" s="373">
        <f t="shared" si="72"/>
        <v>3</v>
      </c>
      <c r="O221" s="373">
        <f t="shared" si="72"/>
        <v>4</v>
      </c>
      <c r="P221" s="374"/>
      <c r="Q221" s="374"/>
      <c r="R221" s="374"/>
      <c r="S221" s="374"/>
      <c r="T221" s="236"/>
      <c r="U221" s="260"/>
      <c r="V221" s="261"/>
      <c r="W221" s="261"/>
      <c r="X221" s="181"/>
      <c r="Y221" s="181"/>
      <c r="Z221" s="218"/>
      <c r="AA221" s="165"/>
      <c r="AB221" s="165"/>
      <c r="AC221" s="165"/>
      <c r="AD221" s="165"/>
      <c r="AE221" s="165"/>
      <c r="AF221" s="165"/>
      <c r="AG221" s="165"/>
      <c r="AH221" s="165"/>
      <c r="AI221" s="165"/>
      <c r="AJ221" s="165"/>
      <c r="AK221" s="165"/>
      <c r="AL221" s="165"/>
      <c r="AM221" s="165"/>
      <c r="AN221" s="165"/>
      <c r="AO221" s="165"/>
      <c r="AP221" s="165"/>
      <c r="AQ221" s="165"/>
    </row>
    <row r="222" ht="15.75" customHeight="1">
      <c r="A222" s="237"/>
      <c r="B222" s="410"/>
      <c r="C222" s="400"/>
      <c r="D222" s="410"/>
      <c r="E222" s="410"/>
      <c r="F222" s="400"/>
      <c r="G222" s="411"/>
      <c r="H222" s="139"/>
      <c r="I222" s="242"/>
      <c r="J222" s="375"/>
      <c r="K222" s="375"/>
      <c r="L222" s="376"/>
      <c r="M222" s="376"/>
      <c r="N222" s="376"/>
      <c r="O222" s="376"/>
      <c r="P222" s="377"/>
      <c r="Q222" s="377"/>
      <c r="R222" s="377"/>
      <c r="S222" s="377"/>
      <c r="T222" s="247"/>
      <c r="U222" s="261"/>
      <c r="V222" s="261"/>
      <c r="W222" s="261"/>
      <c r="X222" s="181"/>
      <c r="Y222" s="181"/>
      <c r="Z222" s="218"/>
      <c r="AA222" s="165"/>
      <c r="AB222" s="165"/>
      <c r="AC222" s="165"/>
      <c r="AD222" s="165"/>
      <c r="AE222" s="165"/>
      <c r="AF222" s="165"/>
      <c r="AG222" s="165"/>
      <c r="AH222" s="165"/>
      <c r="AI222" s="165"/>
      <c r="AJ222" s="165"/>
      <c r="AK222" s="165"/>
      <c r="AL222" s="165"/>
      <c r="AM222" s="165"/>
      <c r="AN222" s="165"/>
      <c r="AO222" s="165"/>
      <c r="AP222" s="165"/>
      <c r="AQ222" s="165"/>
    </row>
    <row r="223" ht="15.75" customHeight="1">
      <c r="A223" s="412" t="s">
        <v>224</v>
      </c>
      <c r="B223" s="332"/>
      <c r="C223" s="279" t="s">
        <v>356</v>
      </c>
      <c r="D223" s="277"/>
      <c r="E223" s="277"/>
      <c r="F223" s="278"/>
      <c r="G223" s="388" t="s">
        <v>58</v>
      </c>
      <c r="H223" s="254" t="s">
        <v>291</v>
      </c>
      <c r="I223" s="255"/>
      <c r="J223" s="380"/>
      <c r="K223" s="381"/>
      <c r="L223" s="382">
        <f t="shared" ref="L223:L232" si="73">1</f>
        <v>1</v>
      </c>
      <c r="M223" s="383">
        <f t="shared" ref="M223:M232" si="74">2</f>
        <v>2</v>
      </c>
      <c r="N223" s="384">
        <f t="shared" ref="N223:N232" si="75">3</f>
        <v>3</v>
      </c>
      <c r="O223" s="385">
        <f t="shared" ref="O223:O232" si="76">4</f>
        <v>4</v>
      </c>
      <c r="P223" s="386"/>
      <c r="Q223" s="386"/>
      <c r="R223" s="386"/>
      <c r="S223" s="386"/>
      <c r="T223" s="304"/>
      <c r="U223" s="261"/>
      <c r="V223" s="261"/>
      <c r="W223" s="261"/>
      <c r="X223" s="181"/>
      <c r="Y223" s="181"/>
      <c r="Z223" s="218"/>
      <c r="AA223" s="165"/>
      <c r="AB223" s="165"/>
      <c r="AC223" s="165"/>
      <c r="AD223" s="165"/>
      <c r="AE223" s="165"/>
      <c r="AF223" s="165"/>
      <c r="AG223" s="165"/>
      <c r="AH223" s="165"/>
      <c r="AI223" s="165"/>
      <c r="AJ223" s="165"/>
      <c r="AK223" s="165"/>
      <c r="AL223" s="165"/>
      <c r="AM223" s="165"/>
      <c r="AN223" s="165"/>
      <c r="AO223" s="165"/>
      <c r="AP223" s="165"/>
      <c r="AQ223" s="165"/>
    </row>
    <row r="224" ht="15.75" customHeight="1">
      <c r="A224" s="412" t="s">
        <v>227</v>
      </c>
      <c r="B224" s="332"/>
      <c r="C224" s="279" t="s">
        <v>357</v>
      </c>
      <c r="D224" s="277"/>
      <c r="E224" s="277"/>
      <c r="F224" s="278"/>
      <c r="G224" s="388" t="s">
        <v>60</v>
      </c>
      <c r="H224" s="254" t="s">
        <v>295</v>
      </c>
      <c r="I224" s="255"/>
      <c r="J224" s="380"/>
      <c r="K224" s="381"/>
      <c r="L224" s="382">
        <f t="shared" si="73"/>
        <v>1</v>
      </c>
      <c r="M224" s="383">
        <f t="shared" si="74"/>
        <v>2</v>
      </c>
      <c r="N224" s="384">
        <f t="shared" si="75"/>
        <v>3</v>
      </c>
      <c r="O224" s="385">
        <f t="shared" si="76"/>
        <v>4</v>
      </c>
      <c r="P224" s="386"/>
      <c r="Q224" s="386"/>
      <c r="R224" s="386"/>
      <c r="S224" s="386"/>
      <c r="T224" s="304"/>
      <c r="U224" s="261"/>
      <c r="V224" s="261"/>
      <c r="W224" s="261"/>
      <c r="X224" s="181"/>
      <c r="Y224" s="181"/>
      <c r="Z224" s="218"/>
      <c r="AA224" s="165"/>
      <c r="AB224" s="165"/>
      <c r="AC224" s="165"/>
      <c r="AD224" s="165"/>
      <c r="AE224" s="165"/>
      <c r="AF224" s="165"/>
      <c r="AG224" s="165"/>
      <c r="AH224" s="165"/>
      <c r="AI224" s="165"/>
      <c r="AJ224" s="165"/>
      <c r="AK224" s="165"/>
      <c r="AL224" s="165"/>
      <c r="AM224" s="165"/>
      <c r="AN224" s="165"/>
      <c r="AO224" s="165"/>
      <c r="AP224" s="165"/>
      <c r="AQ224" s="165"/>
    </row>
    <row r="225" ht="15.75" customHeight="1">
      <c r="A225" s="412" t="s">
        <v>230</v>
      </c>
      <c r="B225" s="332"/>
      <c r="C225" s="279" t="s">
        <v>358</v>
      </c>
      <c r="D225" s="277"/>
      <c r="E225" s="277"/>
      <c r="F225" s="278"/>
      <c r="G225" s="388" t="s">
        <v>58</v>
      </c>
      <c r="H225" s="255" t="s">
        <v>291</v>
      </c>
      <c r="I225" s="255"/>
      <c r="J225" s="380"/>
      <c r="K225" s="381"/>
      <c r="L225" s="382">
        <f t="shared" si="73"/>
        <v>1</v>
      </c>
      <c r="M225" s="383">
        <f t="shared" si="74"/>
        <v>2</v>
      </c>
      <c r="N225" s="384">
        <f t="shared" si="75"/>
        <v>3</v>
      </c>
      <c r="O225" s="385">
        <f t="shared" si="76"/>
        <v>4</v>
      </c>
      <c r="P225" s="390"/>
      <c r="Q225" s="390"/>
      <c r="R225" s="390"/>
      <c r="S225" s="390"/>
      <c r="T225" s="391"/>
      <c r="U225" s="261"/>
      <c r="V225" s="261"/>
      <c r="W225" s="261"/>
      <c r="X225" s="181"/>
      <c r="Y225" s="181"/>
      <c r="Z225" s="218"/>
      <c r="AA225" s="165"/>
      <c r="AB225" s="165"/>
      <c r="AC225" s="165"/>
      <c r="AD225" s="165"/>
      <c r="AE225" s="165"/>
      <c r="AF225" s="165"/>
      <c r="AG225" s="165"/>
      <c r="AH225" s="165"/>
      <c r="AI225" s="165"/>
      <c r="AJ225" s="165"/>
      <c r="AK225" s="165"/>
      <c r="AL225" s="165"/>
      <c r="AM225" s="165"/>
      <c r="AN225" s="165"/>
      <c r="AO225" s="165"/>
      <c r="AP225" s="165"/>
      <c r="AQ225" s="165"/>
    </row>
    <row r="226" ht="15.75" customHeight="1">
      <c r="A226" s="412" t="s">
        <v>233</v>
      </c>
      <c r="B226" s="332"/>
      <c r="C226" s="279" t="s">
        <v>359</v>
      </c>
      <c r="D226" s="277"/>
      <c r="E226" s="277"/>
      <c r="F226" s="278"/>
      <c r="G226" s="388" t="s">
        <v>58</v>
      </c>
      <c r="H226" s="254" t="s">
        <v>295</v>
      </c>
      <c r="I226" s="255"/>
      <c r="J226" s="380"/>
      <c r="K226" s="381"/>
      <c r="L226" s="382">
        <f t="shared" si="73"/>
        <v>1</v>
      </c>
      <c r="M226" s="383">
        <f t="shared" si="74"/>
        <v>2</v>
      </c>
      <c r="N226" s="384">
        <f t="shared" si="75"/>
        <v>3</v>
      </c>
      <c r="O226" s="385">
        <f t="shared" si="76"/>
        <v>4</v>
      </c>
      <c r="P226" s="390"/>
      <c r="Q226" s="390"/>
      <c r="R226" s="390"/>
      <c r="S226" s="390"/>
      <c r="T226" s="391"/>
      <c r="U226" s="261"/>
      <c r="V226" s="261"/>
      <c r="W226" s="261"/>
      <c r="X226" s="181"/>
      <c r="Y226" s="181"/>
      <c r="Z226" s="218"/>
      <c r="AA226" s="165"/>
      <c r="AB226" s="165"/>
      <c r="AC226" s="165"/>
      <c r="AD226" s="165"/>
      <c r="AE226" s="165"/>
      <c r="AF226" s="165"/>
      <c r="AG226" s="165"/>
      <c r="AH226" s="165"/>
      <c r="AI226" s="165"/>
      <c r="AJ226" s="165"/>
      <c r="AK226" s="165"/>
      <c r="AL226" s="165"/>
      <c r="AM226" s="165"/>
      <c r="AN226" s="165"/>
      <c r="AO226" s="165"/>
      <c r="AP226" s="165"/>
      <c r="AQ226" s="165"/>
    </row>
    <row r="227" ht="15.75" customHeight="1">
      <c r="A227" s="412" t="s">
        <v>236</v>
      </c>
      <c r="B227" s="332"/>
      <c r="C227" s="279" t="s">
        <v>360</v>
      </c>
      <c r="D227" s="277"/>
      <c r="E227" s="277"/>
      <c r="F227" s="278"/>
      <c r="G227" s="388" t="s">
        <v>58</v>
      </c>
      <c r="H227" s="254" t="s">
        <v>314</v>
      </c>
      <c r="I227" s="255"/>
      <c r="J227" s="380"/>
      <c r="K227" s="381"/>
      <c r="L227" s="382">
        <f t="shared" si="73"/>
        <v>1</v>
      </c>
      <c r="M227" s="383">
        <f t="shared" si="74"/>
        <v>2</v>
      </c>
      <c r="N227" s="384">
        <f t="shared" si="75"/>
        <v>3</v>
      </c>
      <c r="O227" s="385">
        <f t="shared" si="76"/>
        <v>4</v>
      </c>
      <c r="P227" s="390"/>
      <c r="Q227" s="390"/>
      <c r="R227" s="390"/>
      <c r="S227" s="390"/>
      <c r="T227" s="391"/>
      <c r="U227" s="261"/>
      <c r="V227" s="261"/>
      <c r="W227" s="261"/>
      <c r="X227" s="181"/>
      <c r="Y227" s="181"/>
      <c r="Z227" s="218"/>
      <c r="AA227" s="165"/>
      <c r="AB227" s="165"/>
      <c r="AC227" s="165"/>
      <c r="AD227" s="165"/>
      <c r="AE227" s="165"/>
      <c r="AF227" s="165"/>
      <c r="AG227" s="165"/>
      <c r="AH227" s="165"/>
      <c r="AI227" s="165"/>
      <c r="AJ227" s="165"/>
      <c r="AK227" s="165"/>
      <c r="AL227" s="165"/>
      <c r="AM227" s="165"/>
      <c r="AN227" s="165"/>
      <c r="AO227" s="165"/>
      <c r="AP227" s="165"/>
      <c r="AQ227" s="165"/>
    </row>
    <row r="228" ht="15.75" customHeight="1">
      <c r="A228" s="412" t="s">
        <v>239</v>
      </c>
      <c r="B228" s="332"/>
      <c r="C228" s="279" t="s">
        <v>361</v>
      </c>
      <c r="D228" s="277"/>
      <c r="E228" s="277"/>
      <c r="F228" s="278"/>
      <c r="G228" s="388" t="s">
        <v>58</v>
      </c>
      <c r="H228" s="254" t="s">
        <v>291</v>
      </c>
      <c r="I228" s="255"/>
      <c r="J228" s="380"/>
      <c r="K228" s="381"/>
      <c r="L228" s="382">
        <f t="shared" si="73"/>
        <v>1</v>
      </c>
      <c r="M228" s="383">
        <f t="shared" si="74"/>
        <v>2</v>
      </c>
      <c r="N228" s="384">
        <f t="shared" si="75"/>
        <v>3</v>
      </c>
      <c r="O228" s="385">
        <f t="shared" si="76"/>
        <v>4</v>
      </c>
      <c r="P228" s="390"/>
      <c r="Q228" s="390"/>
      <c r="R228" s="390"/>
      <c r="S228" s="390"/>
      <c r="T228" s="391"/>
      <c r="U228" s="261"/>
      <c r="V228" s="261"/>
      <c r="W228" s="261"/>
      <c r="X228" s="181"/>
      <c r="Y228" s="181"/>
      <c r="Z228" s="218"/>
      <c r="AA228" s="165"/>
      <c r="AB228" s="165"/>
      <c r="AC228" s="165"/>
      <c r="AD228" s="165"/>
      <c r="AE228" s="165"/>
      <c r="AF228" s="165"/>
      <c r="AG228" s="165"/>
      <c r="AH228" s="165"/>
      <c r="AI228" s="165"/>
      <c r="AJ228" s="165"/>
      <c r="AK228" s="165"/>
      <c r="AL228" s="165"/>
      <c r="AM228" s="165"/>
      <c r="AN228" s="165"/>
      <c r="AO228" s="165"/>
      <c r="AP228" s="165"/>
      <c r="AQ228" s="165"/>
    </row>
    <row r="229" ht="15.75" customHeight="1">
      <c r="A229" s="412" t="s">
        <v>362</v>
      </c>
      <c r="B229" s="332"/>
      <c r="C229" s="279" t="s">
        <v>363</v>
      </c>
      <c r="D229" s="277"/>
      <c r="E229" s="277"/>
      <c r="F229" s="278"/>
      <c r="G229" s="388" t="s">
        <v>58</v>
      </c>
      <c r="H229" s="254" t="s">
        <v>295</v>
      </c>
      <c r="I229" s="255"/>
      <c r="J229" s="380"/>
      <c r="K229" s="381"/>
      <c r="L229" s="382">
        <f t="shared" si="73"/>
        <v>1</v>
      </c>
      <c r="M229" s="383">
        <f t="shared" si="74"/>
        <v>2</v>
      </c>
      <c r="N229" s="384">
        <f t="shared" si="75"/>
        <v>3</v>
      </c>
      <c r="O229" s="385">
        <f t="shared" si="76"/>
        <v>4</v>
      </c>
      <c r="P229" s="390"/>
      <c r="Q229" s="390"/>
      <c r="R229" s="390"/>
      <c r="S229" s="390"/>
      <c r="T229" s="391"/>
      <c r="U229" s="261"/>
      <c r="V229" s="261"/>
      <c r="W229" s="261"/>
      <c r="X229" s="181"/>
      <c r="Y229" s="181"/>
      <c r="Z229" s="218"/>
      <c r="AA229" s="165"/>
      <c r="AB229" s="165"/>
      <c r="AC229" s="165"/>
      <c r="AD229" s="165"/>
      <c r="AE229" s="165"/>
      <c r="AF229" s="165"/>
      <c r="AG229" s="165"/>
      <c r="AH229" s="165"/>
      <c r="AI229" s="165"/>
      <c r="AJ229" s="165"/>
      <c r="AK229" s="165"/>
      <c r="AL229" s="165"/>
      <c r="AM229" s="165"/>
      <c r="AN229" s="165"/>
      <c r="AO229" s="165"/>
      <c r="AP229" s="165"/>
      <c r="AQ229" s="165"/>
    </row>
    <row r="230" ht="15.75" customHeight="1">
      <c r="A230" s="412" t="s">
        <v>364</v>
      </c>
      <c r="B230" s="332"/>
      <c r="C230" s="279" t="s">
        <v>365</v>
      </c>
      <c r="D230" s="277"/>
      <c r="E230" s="277"/>
      <c r="F230" s="278"/>
      <c r="G230" s="388" t="s">
        <v>309</v>
      </c>
      <c r="H230" s="255" t="s">
        <v>291</v>
      </c>
      <c r="I230" s="255"/>
      <c r="J230" s="380"/>
      <c r="K230" s="381"/>
      <c r="L230" s="382">
        <f t="shared" si="73"/>
        <v>1</v>
      </c>
      <c r="M230" s="383">
        <f t="shared" si="74"/>
        <v>2</v>
      </c>
      <c r="N230" s="384">
        <f t="shared" si="75"/>
        <v>3</v>
      </c>
      <c r="O230" s="385">
        <f t="shared" si="76"/>
        <v>4</v>
      </c>
      <c r="P230" s="390"/>
      <c r="Q230" s="390"/>
      <c r="R230" s="390"/>
      <c r="S230" s="390"/>
      <c r="T230" s="392"/>
      <c r="U230" s="261"/>
      <c r="V230" s="261"/>
      <c r="W230" s="261"/>
      <c r="X230" s="181"/>
      <c r="Y230" s="181"/>
      <c r="Z230" s="218"/>
      <c r="AA230" s="165"/>
      <c r="AB230" s="165"/>
      <c r="AC230" s="165"/>
      <c r="AD230" s="165"/>
      <c r="AE230" s="165"/>
      <c r="AF230" s="165"/>
      <c r="AG230" s="165"/>
      <c r="AH230" s="165"/>
      <c r="AI230" s="165"/>
      <c r="AJ230" s="165"/>
      <c r="AK230" s="165"/>
      <c r="AL230" s="165"/>
      <c r="AM230" s="165"/>
      <c r="AN230" s="165"/>
      <c r="AO230" s="165"/>
      <c r="AP230" s="165"/>
      <c r="AQ230" s="165"/>
    </row>
    <row r="231" ht="15.75" customHeight="1">
      <c r="A231" s="412" t="s">
        <v>366</v>
      </c>
      <c r="B231" s="332"/>
      <c r="C231" s="332" t="s">
        <v>367</v>
      </c>
      <c r="D231" s="333"/>
      <c r="E231" s="333"/>
      <c r="F231" s="334"/>
      <c r="G231" s="388" t="s">
        <v>58</v>
      </c>
      <c r="H231" s="254" t="s">
        <v>295</v>
      </c>
      <c r="I231" s="413"/>
      <c r="J231" s="394"/>
      <c r="K231" s="395"/>
      <c r="L231" s="382">
        <f t="shared" si="73"/>
        <v>1</v>
      </c>
      <c r="M231" s="383">
        <f t="shared" si="74"/>
        <v>2</v>
      </c>
      <c r="N231" s="384">
        <f t="shared" si="75"/>
        <v>3</v>
      </c>
      <c r="O231" s="385">
        <f t="shared" si="76"/>
        <v>4</v>
      </c>
      <c r="P231" s="369"/>
      <c r="Q231" s="369"/>
      <c r="R231" s="369"/>
      <c r="S231" s="369"/>
      <c r="T231" s="314"/>
      <c r="U231" s="261"/>
      <c r="V231" s="261"/>
      <c r="W231" s="261"/>
      <c r="X231" s="181"/>
      <c r="Y231" s="181"/>
      <c r="Z231" s="218"/>
      <c r="AA231" s="165"/>
      <c r="AB231" s="165"/>
      <c r="AC231" s="165"/>
      <c r="AD231" s="165"/>
      <c r="AE231" s="165"/>
      <c r="AF231" s="165"/>
      <c r="AG231" s="165"/>
      <c r="AH231" s="165"/>
      <c r="AI231" s="165"/>
      <c r="AJ231" s="165"/>
      <c r="AK231" s="165"/>
      <c r="AL231" s="165"/>
      <c r="AM231" s="165"/>
      <c r="AN231" s="165"/>
      <c r="AO231" s="165"/>
      <c r="AP231" s="165"/>
      <c r="AQ231" s="165"/>
    </row>
    <row r="232" ht="15.75" customHeight="1">
      <c r="A232" s="412" t="s">
        <v>368</v>
      </c>
      <c r="B232" s="332"/>
      <c r="C232" s="332" t="s">
        <v>369</v>
      </c>
      <c r="D232" s="333"/>
      <c r="E232" s="333"/>
      <c r="F232" s="334"/>
      <c r="G232" s="379" t="s">
        <v>290</v>
      </c>
      <c r="H232" s="254" t="s">
        <v>314</v>
      </c>
      <c r="I232" s="414"/>
      <c r="J232" s="415"/>
      <c r="K232" s="415"/>
      <c r="L232" s="382">
        <f t="shared" si="73"/>
        <v>1</v>
      </c>
      <c r="M232" s="383">
        <f t="shared" si="74"/>
        <v>2</v>
      </c>
      <c r="N232" s="384">
        <f t="shared" si="75"/>
        <v>3</v>
      </c>
      <c r="O232" s="385">
        <f t="shared" si="76"/>
        <v>4</v>
      </c>
      <c r="P232" s="369"/>
      <c r="Q232" s="369"/>
      <c r="R232" s="369"/>
      <c r="S232" s="369"/>
      <c r="T232" s="314"/>
      <c r="U232" s="261"/>
      <c r="V232" s="261"/>
      <c r="W232" s="261"/>
      <c r="X232" s="181"/>
      <c r="Y232" s="181"/>
      <c r="Z232" s="218"/>
      <c r="AA232" s="165"/>
      <c r="AB232" s="165"/>
      <c r="AC232" s="165"/>
      <c r="AD232" s="165"/>
      <c r="AE232" s="165"/>
      <c r="AF232" s="165"/>
      <c r="AG232" s="165"/>
      <c r="AH232" s="165"/>
      <c r="AI232" s="165"/>
      <c r="AJ232" s="165"/>
      <c r="AK232" s="165"/>
      <c r="AL232" s="165"/>
      <c r="AM232" s="165"/>
      <c r="AN232" s="165"/>
      <c r="AO232" s="165"/>
      <c r="AP232" s="165"/>
      <c r="AQ232" s="165"/>
    </row>
    <row r="233" ht="15.75" customHeight="1">
      <c r="A233" s="308"/>
      <c r="B233" s="416"/>
      <c r="C233" s="417"/>
      <c r="D233" s="417"/>
      <c r="E233" s="417"/>
      <c r="F233" s="417"/>
      <c r="G233" s="337"/>
      <c r="H233" s="338"/>
      <c r="I233" s="339"/>
      <c r="J233" s="368"/>
      <c r="K233" s="368"/>
      <c r="L233" s="418"/>
      <c r="M233" s="418"/>
      <c r="N233" s="418"/>
      <c r="O233" s="418"/>
      <c r="P233" s="369"/>
      <c r="Q233" s="369"/>
      <c r="R233" s="369"/>
      <c r="S233" s="369"/>
      <c r="T233" s="314"/>
      <c r="U233" s="261"/>
      <c r="V233" s="261"/>
      <c r="W233" s="261"/>
      <c r="X233" s="181"/>
      <c r="Y233" s="181"/>
      <c r="Z233" s="218"/>
      <c r="AA233" s="165"/>
      <c r="AB233" s="165"/>
      <c r="AC233" s="165"/>
      <c r="AD233" s="165"/>
      <c r="AE233" s="165"/>
      <c r="AF233" s="165"/>
      <c r="AG233" s="165"/>
      <c r="AH233" s="165"/>
      <c r="AI233" s="165"/>
      <c r="AJ233" s="165"/>
      <c r="AK233" s="165"/>
      <c r="AL233" s="165"/>
      <c r="AM233" s="165"/>
      <c r="AN233" s="165"/>
      <c r="AO233" s="165"/>
      <c r="AP233" s="165"/>
      <c r="AQ233" s="165"/>
    </row>
    <row r="234" ht="15.75" customHeight="1">
      <c r="A234" s="371">
        <v>8.0</v>
      </c>
      <c r="B234" s="401"/>
      <c r="C234" s="402" t="s">
        <v>370</v>
      </c>
      <c r="D234" s="226"/>
      <c r="E234" s="226"/>
      <c r="F234" s="227"/>
      <c r="G234" s="271"/>
      <c r="H234" s="287"/>
      <c r="I234" s="231"/>
      <c r="J234" s="372"/>
      <c r="K234" s="372"/>
      <c r="L234" s="373">
        <f t="shared" ref="L234:O234" si="77">AVERAGEIF(L236:L247,"&gt;= 0")</f>
        <v>1</v>
      </c>
      <c r="M234" s="373">
        <f t="shared" si="77"/>
        <v>2</v>
      </c>
      <c r="N234" s="373">
        <f t="shared" si="77"/>
        <v>3</v>
      </c>
      <c r="O234" s="373">
        <f t="shared" si="77"/>
        <v>4</v>
      </c>
      <c r="P234" s="374"/>
      <c r="Q234" s="374"/>
      <c r="R234" s="374"/>
      <c r="S234" s="374"/>
      <c r="T234" s="236"/>
      <c r="U234" s="261"/>
      <c r="V234" s="261"/>
      <c r="W234" s="261"/>
      <c r="X234" s="181"/>
      <c r="Y234" s="181"/>
      <c r="Z234" s="218"/>
      <c r="AA234" s="165"/>
      <c r="AB234" s="165"/>
      <c r="AC234" s="165"/>
      <c r="AD234" s="165"/>
      <c r="AE234" s="165"/>
      <c r="AF234" s="165"/>
      <c r="AG234" s="165"/>
      <c r="AH234" s="165"/>
      <c r="AI234" s="165"/>
      <c r="AJ234" s="165"/>
      <c r="AK234" s="165"/>
      <c r="AL234" s="165"/>
      <c r="AM234" s="165"/>
      <c r="AN234" s="165"/>
      <c r="AO234" s="165"/>
      <c r="AP234" s="165"/>
      <c r="AQ234" s="165"/>
    </row>
    <row r="235" ht="15.75" customHeight="1">
      <c r="A235" s="237"/>
      <c r="B235" s="403"/>
      <c r="C235" s="403"/>
      <c r="D235" s="403"/>
      <c r="E235" s="403"/>
      <c r="F235" s="403"/>
      <c r="G235" s="241"/>
      <c r="H235" s="139"/>
      <c r="I235" s="242"/>
      <c r="J235" s="375"/>
      <c r="K235" s="375"/>
      <c r="L235" s="376"/>
      <c r="M235" s="376"/>
      <c r="N235" s="376"/>
      <c r="O235" s="376"/>
      <c r="P235" s="377"/>
      <c r="Q235" s="377"/>
      <c r="R235" s="377"/>
      <c r="S235" s="377"/>
      <c r="T235" s="247"/>
      <c r="U235" s="261"/>
      <c r="V235" s="261"/>
      <c r="W235" s="261"/>
      <c r="X235" s="181"/>
      <c r="Y235" s="181"/>
      <c r="Z235" s="218"/>
      <c r="AA235" s="165"/>
      <c r="AB235" s="165"/>
      <c r="AC235" s="165"/>
      <c r="AD235" s="165"/>
      <c r="AE235" s="165"/>
      <c r="AF235" s="165"/>
      <c r="AG235" s="165"/>
      <c r="AH235" s="165"/>
      <c r="AI235" s="165"/>
      <c r="AJ235" s="165"/>
      <c r="AK235" s="165"/>
      <c r="AL235" s="165"/>
      <c r="AM235" s="165"/>
      <c r="AN235" s="165"/>
      <c r="AO235" s="165"/>
      <c r="AP235" s="165"/>
      <c r="AQ235" s="165"/>
    </row>
    <row r="236" ht="15.75" customHeight="1">
      <c r="A236" s="273" t="s">
        <v>242</v>
      </c>
      <c r="B236" s="378"/>
      <c r="C236" s="279" t="s">
        <v>371</v>
      </c>
      <c r="D236" s="277"/>
      <c r="E236" s="277"/>
      <c r="F236" s="278"/>
      <c r="G236" s="388" t="s">
        <v>58</v>
      </c>
      <c r="H236" s="254" t="s">
        <v>291</v>
      </c>
      <c r="I236" s="255"/>
      <c r="J236" s="380"/>
      <c r="K236" s="381"/>
      <c r="L236" s="382">
        <f t="shared" ref="L236:L247" si="78">1</f>
        <v>1</v>
      </c>
      <c r="M236" s="383">
        <f t="shared" ref="M236:M247" si="79">2</f>
        <v>2</v>
      </c>
      <c r="N236" s="384">
        <f t="shared" ref="N236:N247" si="80">3</f>
        <v>3</v>
      </c>
      <c r="O236" s="385">
        <f t="shared" ref="O236:O247" si="81">4</f>
        <v>4</v>
      </c>
      <c r="P236" s="386"/>
      <c r="Q236" s="386"/>
      <c r="R236" s="386"/>
      <c r="S236" s="386"/>
      <c r="T236" s="304"/>
      <c r="U236" s="261"/>
      <c r="V236" s="261"/>
      <c r="W236" s="261"/>
      <c r="X236" s="181"/>
      <c r="Y236" s="181"/>
      <c r="Z236" s="218"/>
      <c r="AA236" s="165"/>
      <c r="AB236" s="165"/>
      <c r="AC236" s="165"/>
      <c r="AD236" s="165"/>
      <c r="AE236" s="165"/>
      <c r="AF236" s="165"/>
      <c r="AG236" s="165"/>
      <c r="AH236" s="165"/>
      <c r="AI236" s="165"/>
      <c r="AJ236" s="165"/>
      <c r="AK236" s="165"/>
      <c r="AL236" s="165"/>
      <c r="AM236" s="165"/>
      <c r="AN236" s="165"/>
      <c r="AO236" s="165"/>
      <c r="AP236" s="165"/>
      <c r="AQ236" s="165"/>
    </row>
    <row r="237" ht="15.75" customHeight="1">
      <c r="A237" s="273" t="s">
        <v>245</v>
      </c>
      <c r="B237" s="378"/>
      <c r="C237" s="279" t="s">
        <v>372</v>
      </c>
      <c r="D237" s="277"/>
      <c r="E237" s="277"/>
      <c r="F237" s="278"/>
      <c r="G237" s="388" t="s">
        <v>58</v>
      </c>
      <c r="H237" s="254" t="s">
        <v>295</v>
      </c>
      <c r="I237" s="255"/>
      <c r="J237" s="380"/>
      <c r="K237" s="381"/>
      <c r="L237" s="382">
        <f t="shared" si="78"/>
        <v>1</v>
      </c>
      <c r="M237" s="383">
        <f t="shared" si="79"/>
        <v>2</v>
      </c>
      <c r="N237" s="384">
        <f t="shared" si="80"/>
        <v>3</v>
      </c>
      <c r="O237" s="385">
        <f t="shared" si="81"/>
        <v>4</v>
      </c>
      <c r="P237" s="386"/>
      <c r="Q237" s="386"/>
      <c r="R237" s="386"/>
      <c r="S237" s="386"/>
      <c r="T237" s="304"/>
      <c r="U237" s="261"/>
      <c r="V237" s="261"/>
      <c r="W237" s="261"/>
      <c r="X237" s="181"/>
      <c r="Y237" s="181"/>
      <c r="Z237" s="218"/>
      <c r="AA237" s="165"/>
      <c r="AB237" s="165"/>
      <c r="AC237" s="165"/>
      <c r="AD237" s="165"/>
      <c r="AE237" s="165"/>
      <c r="AF237" s="165"/>
      <c r="AG237" s="165"/>
      <c r="AH237" s="165"/>
      <c r="AI237" s="165"/>
      <c r="AJ237" s="165"/>
      <c r="AK237" s="165"/>
      <c r="AL237" s="165"/>
      <c r="AM237" s="165"/>
      <c r="AN237" s="165"/>
      <c r="AO237" s="165"/>
      <c r="AP237" s="165"/>
      <c r="AQ237" s="165"/>
    </row>
    <row r="238" ht="15.75" customHeight="1">
      <c r="A238" s="273" t="s">
        <v>248</v>
      </c>
      <c r="B238" s="378"/>
      <c r="C238" s="279" t="s">
        <v>373</v>
      </c>
      <c r="D238" s="277"/>
      <c r="E238" s="277"/>
      <c r="F238" s="278"/>
      <c r="G238" s="388" t="s">
        <v>337</v>
      </c>
      <c r="H238" s="255" t="s">
        <v>291</v>
      </c>
      <c r="I238" s="255"/>
      <c r="J238" s="380"/>
      <c r="K238" s="381"/>
      <c r="L238" s="382">
        <f t="shared" si="78"/>
        <v>1</v>
      </c>
      <c r="M238" s="383">
        <f t="shared" si="79"/>
        <v>2</v>
      </c>
      <c r="N238" s="384">
        <f t="shared" si="80"/>
        <v>3</v>
      </c>
      <c r="O238" s="385">
        <f t="shared" si="81"/>
        <v>4</v>
      </c>
      <c r="P238" s="390"/>
      <c r="Q238" s="390"/>
      <c r="R238" s="390"/>
      <c r="S238" s="390"/>
      <c r="T238" s="391"/>
      <c r="U238" s="261"/>
      <c r="V238" s="261"/>
      <c r="W238" s="261"/>
      <c r="X238" s="181"/>
      <c r="Y238" s="181"/>
      <c r="Z238" s="218"/>
      <c r="AA238" s="165"/>
      <c r="AB238" s="165"/>
      <c r="AC238" s="165"/>
      <c r="AD238" s="165"/>
      <c r="AE238" s="165"/>
      <c r="AF238" s="165"/>
      <c r="AG238" s="165"/>
      <c r="AH238" s="165"/>
      <c r="AI238" s="165"/>
      <c r="AJ238" s="165"/>
      <c r="AK238" s="165"/>
      <c r="AL238" s="165"/>
      <c r="AM238" s="165"/>
      <c r="AN238" s="165"/>
      <c r="AO238" s="165"/>
      <c r="AP238" s="165"/>
      <c r="AQ238" s="165"/>
    </row>
    <row r="239" ht="15.75" customHeight="1">
      <c r="A239" s="273" t="s">
        <v>251</v>
      </c>
      <c r="B239" s="378"/>
      <c r="C239" s="279" t="s">
        <v>374</v>
      </c>
      <c r="D239" s="277"/>
      <c r="E239" s="277"/>
      <c r="F239" s="278"/>
      <c r="G239" s="388" t="s">
        <v>58</v>
      </c>
      <c r="H239" s="254" t="s">
        <v>295</v>
      </c>
      <c r="I239" s="255"/>
      <c r="J239" s="380"/>
      <c r="K239" s="381"/>
      <c r="L239" s="382">
        <f t="shared" si="78"/>
        <v>1</v>
      </c>
      <c r="M239" s="383">
        <f t="shared" si="79"/>
        <v>2</v>
      </c>
      <c r="N239" s="384">
        <f t="shared" si="80"/>
        <v>3</v>
      </c>
      <c r="O239" s="385">
        <f t="shared" si="81"/>
        <v>4</v>
      </c>
      <c r="P239" s="390"/>
      <c r="Q239" s="390"/>
      <c r="R239" s="390"/>
      <c r="S239" s="390"/>
      <c r="T239" s="391"/>
      <c r="U239" s="261"/>
      <c r="V239" s="261"/>
      <c r="W239" s="261"/>
      <c r="X239" s="181"/>
      <c r="Y239" s="181"/>
      <c r="Z239" s="218"/>
      <c r="AA239" s="165"/>
      <c r="AB239" s="165"/>
      <c r="AC239" s="165"/>
      <c r="AD239" s="165"/>
      <c r="AE239" s="165"/>
      <c r="AF239" s="165"/>
      <c r="AG239" s="165"/>
      <c r="AH239" s="165"/>
      <c r="AI239" s="165"/>
      <c r="AJ239" s="165"/>
      <c r="AK239" s="165"/>
      <c r="AL239" s="165"/>
      <c r="AM239" s="165"/>
      <c r="AN239" s="165"/>
      <c r="AO239" s="165"/>
      <c r="AP239" s="165"/>
      <c r="AQ239" s="165"/>
    </row>
    <row r="240" ht="15.75" customHeight="1">
      <c r="A240" s="273" t="s">
        <v>254</v>
      </c>
      <c r="B240" s="378"/>
      <c r="C240" s="279" t="s">
        <v>375</v>
      </c>
      <c r="D240" s="277"/>
      <c r="E240" s="277"/>
      <c r="F240" s="278"/>
      <c r="G240" s="388" t="s">
        <v>309</v>
      </c>
      <c r="H240" s="254" t="s">
        <v>314</v>
      </c>
      <c r="I240" s="255"/>
      <c r="J240" s="380"/>
      <c r="K240" s="381"/>
      <c r="L240" s="382">
        <f t="shared" si="78"/>
        <v>1</v>
      </c>
      <c r="M240" s="383">
        <f t="shared" si="79"/>
        <v>2</v>
      </c>
      <c r="N240" s="384">
        <f t="shared" si="80"/>
        <v>3</v>
      </c>
      <c r="O240" s="385">
        <f t="shared" si="81"/>
        <v>4</v>
      </c>
      <c r="P240" s="390"/>
      <c r="Q240" s="390"/>
      <c r="R240" s="390"/>
      <c r="S240" s="390"/>
      <c r="T240" s="391"/>
      <c r="U240" s="261"/>
      <c r="V240" s="261"/>
      <c r="W240" s="261"/>
      <c r="X240" s="181"/>
      <c r="Y240" s="181"/>
      <c r="Z240" s="218"/>
      <c r="AA240" s="165"/>
      <c r="AB240" s="165"/>
      <c r="AC240" s="165"/>
      <c r="AD240" s="165"/>
      <c r="AE240" s="165"/>
      <c r="AF240" s="165"/>
      <c r="AG240" s="165"/>
      <c r="AH240" s="165"/>
      <c r="AI240" s="165"/>
      <c r="AJ240" s="165"/>
      <c r="AK240" s="165"/>
      <c r="AL240" s="165"/>
      <c r="AM240" s="165"/>
      <c r="AN240" s="165"/>
      <c r="AO240" s="165"/>
      <c r="AP240" s="165"/>
      <c r="AQ240" s="165"/>
    </row>
    <row r="241" ht="15.75" customHeight="1">
      <c r="A241" s="273" t="s">
        <v>257</v>
      </c>
      <c r="B241" s="378"/>
      <c r="C241" s="279" t="s">
        <v>376</v>
      </c>
      <c r="D241" s="277"/>
      <c r="E241" s="277"/>
      <c r="F241" s="278"/>
      <c r="G241" s="388" t="s">
        <v>309</v>
      </c>
      <c r="H241" s="254" t="s">
        <v>291</v>
      </c>
      <c r="I241" s="255"/>
      <c r="J241" s="380"/>
      <c r="K241" s="381"/>
      <c r="L241" s="382">
        <f t="shared" si="78"/>
        <v>1</v>
      </c>
      <c r="M241" s="383">
        <f t="shared" si="79"/>
        <v>2</v>
      </c>
      <c r="N241" s="384">
        <f t="shared" si="80"/>
        <v>3</v>
      </c>
      <c r="O241" s="385">
        <f t="shared" si="81"/>
        <v>4</v>
      </c>
      <c r="P241" s="390"/>
      <c r="Q241" s="390"/>
      <c r="R241" s="390"/>
      <c r="S241" s="390"/>
      <c r="T241" s="391"/>
      <c r="U241" s="261"/>
      <c r="V241" s="261"/>
      <c r="W241" s="261"/>
      <c r="X241" s="181"/>
      <c r="Y241" s="181"/>
      <c r="Z241" s="218"/>
      <c r="AA241" s="165"/>
      <c r="AB241" s="165"/>
      <c r="AC241" s="165"/>
      <c r="AD241" s="165"/>
      <c r="AE241" s="165"/>
      <c r="AF241" s="165"/>
      <c r="AG241" s="165"/>
      <c r="AH241" s="165"/>
      <c r="AI241" s="165"/>
      <c r="AJ241" s="165"/>
      <c r="AK241" s="165"/>
      <c r="AL241" s="165"/>
      <c r="AM241" s="165"/>
      <c r="AN241" s="165"/>
      <c r="AO241" s="165"/>
      <c r="AP241" s="165"/>
      <c r="AQ241" s="165"/>
    </row>
    <row r="242" ht="15.75" customHeight="1">
      <c r="A242" s="273" t="s">
        <v>260</v>
      </c>
      <c r="B242" s="378"/>
      <c r="G242" s="388" t="s">
        <v>309</v>
      </c>
      <c r="H242" s="254" t="s">
        <v>295</v>
      </c>
      <c r="I242" s="255"/>
      <c r="J242" s="380"/>
      <c r="K242" s="381"/>
      <c r="L242" s="382">
        <f t="shared" si="78"/>
        <v>1</v>
      </c>
      <c r="M242" s="383">
        <f t="shared" si="79"/>
        <v>2</v>
      </c>
      <c r="N242" s="384">
        <f t="shared" si="80"/>
        <v>3</v>
      </c>
      <c r="O242" s="385">
        <f t="shared" si="81"/>
        <v>4</v>
      </c>
      <c r="P242" s="390"/>
      <c r="Q242" s="390"/>
      <c r="R242" s="390"/>
      <c r="S242" s="390"/>
      <c r="T242" s="391"/>
      <c r="U242" s="261"/>
      <c r="V242" s="261"/>
      <c r="W242" s="261"/>
      <c r="X242" s="181"/>
      <c r="Y242" s="181"/>
      <c r="Z242" s="218"/>
      <c r="AA242" s="165"/>
      <c r="AB242" s="165"/>
      <c r="AC242" s="165"/>
      <c r="AD242" s="165"/>
      <c r="AE242" s="165"/>
      <c r="AF242" s="165"/>
      <c r="AG242" s="165"/>
      <c r="AH242" s="165"/>
      <c r="AI242" s="165"/>
      <c r="AJ242" s="165"/>
      <c r="AK242" s="165"/>
      <c r="AL242" s="165"/>
      <c r="AM242" s="165"/>
      <c r="AN242" s="165"/>
      <c r="AO242" s="165"/>
      <c r="AP242" s="165"/>
      <c r="AQ242" s="165"/>
    </row>
    <row r="243" ht="15.75" customHeight="1">
      <c r="A243" s="273" t="s">
        <v>263</v>
      </c>
      <c r="B243" s="378"/>
      <c r="C243" s="279"/>
      <c r="D243" s="277"/>
      <c r="E243" s="277"/>
      <c r="F243" s="278"/>
      <c r="G243" s="388" t="s">
        <v>309</v>
      </c>
      <c r="H243" s="254" t="s">
        <v>291</v>
      </c>
      <c r="I243" s="255"/>
      <c r="J243" s="380"/>
      <c r="K243" s="381"/>
      <c r="L243" s="382">
        <f t="shared" si="78"/>
        <v>1</v>
      </c>
      <c r="M243" s="383">
        <f t="shared" si="79"/>
        <v>2</v>
      </c>
      <c r="N243" s="384">
        <f t="shared" si="80"/>
        <v>3</v>
      </c>
      <c r="O243" s="385">
        <f t="shared" si="81"/>
        <v>4</v>
      </c>
      <c r="P243" s="390"/>
      <c r="Q243" s="390"/>
      <c r="R243" s="390"/>
      <c r="S243" s="390"/>
      <c r="T243" s="392"/>
      <c r="U243" s="260"/>
      <c r="V243" s="261"/>
      <c r="W243" s="261"/>
      <c r="X243" s="181"/>
      <c r="Y243" s="181"/>
      <c r="Z243" s="218"/>
      <c r="AA243" s="165"/>
      <c r="AB243" s="165"/>
      <c r="AC243" s="165"/>
      <c r="AD243" s="165"/>
      <c r="AE243" s="165"/>
      <c r="AF243" s="165"/>
      <c r="AG243" s="165"/>
      <c r="AH243" s="165"/>
      <c r="AI243" s="165"/>
      <c r="AJ243" s="165"/>
      <c r="AK243" s="165"/>
      <c r="AL243" s="165"/>
      <c r="AM243" s="165"/>
      <c r="AN243" s="165"/>
      <c r="AO243" s="165"/>
      <c r="AP243" s="165"/>
      <c r="AQ243" s="165"/>
    </row>
    <row r="244" ht="15.75" customHeight="1">
      <c r="A244" s="273" t="s">
        <v>377</v>
      </c>
      <c r="B244" s="378"/>
      <c r="C244" s="279" t="s">
        <v>378</v>
      </c>
      <c r="D244" s="277"/>
      <c r="E244" s="277"/>
      <c r="F244" s="278"/>
      <c r="G244" s="388" t="s">
        <v>309</v>
      </c>
      <c r="H244" s="254" t="s">
        <v>295</v>
      </c>
      <c r="I244" s="255"/>
      <c r="J244" s="380"/>
      <c r="K244" s="381"/>
      <c r="L244" s="382">
        <f t="shared" si="78"/>
        <v>1</v>
      </c>
      <c r="M244" s="383">
        <f t="shared" si="79"/>
        <v>2</v>
      </c>
      <c r="N244" s="384">
        <f t="shared" si="80"/>
        <v>3</v>
      </c>
      <c r="O244" s="385">
        <f t="shared" si="81"/>
        <v>4</v>
      </c>
      <c r="P244" s="390"/>
      <c r="Q244" s="390"/>
      <c r="R244" s="390"/>
      <c r="S244" s="390"/>
      <c r="T244" s="392"/>
      <c r="U244" s="260"/>
      <c r="V244" s="261"/>
      <c r="W244" s="261"/>
      <c r="X244" s="181"/>
      <c r="Y244" s="181"/>
      <c r="Z244" s="218"/>
      <c r="AA244" s="165"/>
      <c r="AB244" s="165"/>
      <c r="AC244" s="165"/>
      <c r="AD244" s="165"/>
      <c r="AE244" s="165"/>
      <c r="AF244" s="165"/>
      <c r="AG244" s="165"/>
      <c r="AH244" s="165"/>
      <c r="AI244" s="165"/>
      <c r="AJ244" s="165"/>
      <c r="AK244" s="165"/>
      <c r="AL244" s="165"/>
      <c r="AM244" s="165"/>
      <c r="AN244" s="165"/>
      <c r="AO244" s="165"/>
      <c r="AP244" s="165"/>
      <c r="AQ244" s="165"/>
    </row>
    <row r="245" ht="15.75" customHeight="1">
      <c r="A245" s="273" t="s">
        <v>379</v>
      </c>
      <c r="B245" s="378"/>
      <c r="C245" s="279" t="s">
        <v>380</v>
      </c>
      <c r="D245" s="277"/>
      <c r="E245" s="277"/>
      <c r="F245" s="278"/>
      <c r="G245" s="388" t="s">
        <v>309</v>
      </c>
      <c r="H245" s="255" t="s">
        <v>291</v>
      </c>
      <c r="I245" s="255"/>
      <c r="J245" s="380"/>
      <c r="K245" s="381"/>
      <c r="L245" s="382">
        <f t="shared" si="78"/>
        <v>1</v>
      </c>
      <c r="M245" s="383">
        <f t="shared" si="79"/>
        <v>2</v>
      </c>
      <c r="N245" s="384">
        <f t="shared" si="80"/>
        <v>3</v>
      </c>
      <c r="O245" s="385">
        <f t="shared" si="81"/>
        <v>4</v>
      </c>
      <c r="P245" s="369"/>
      <c r="Q245" s="369"/>
      <c r="R245" s="369"/>
      <c r="S245" s="369"/>
      <c r="T245" s="314"/>
      <c r="U245" s="387" t="s">
        <v>381</v>
      </c>
      <c r="V245" s="387" t="s">
        <v>382</v>
      </c>
      <c r="W245" s="261"/>
      <c r="X245" s="262" t="s">
        <v>132</v>
      </c>
      <c r="Y245" s="181"/>
      <c r="Z245" s="218"/>
      <c r="AA245" s="365"/>
      <c r="AB245" s="365"/>
      <c r="AC245" s="365"/>
      <c r="AD245" s="165"/>
      <c r="AE245" s="165"/>
      <c r="AF245" s="165"/>
      <c r="AG245" s="165"/>
      <c r="AH245" s="165"/>
      <c r="AI245" s="165"/>
      <c r="AJ245" s="165"/>
      <c r="AK245" s="165"/>
      <c r="AL245" s="165"/>
      <c r="AM245" s="165"/>
      <c r="AN245" s="165"/>
      <c r="AO245" s="165"/>
      <c r="AP245" s="165"/>
      <c r="AQ245" s="165"/>
    </row>
    <row r="246" ht="15.75" customHeight="1">
      <c r="A246" s="273" t="s">
        <v>383</v>
      </c>
      <c r="B246" s="378"/>
      <c r="C246" s="279" t="s">
        <v>384</v>
      </c>
      <c r="D246" s="277"/>
      <c r="E246" s="277"/>
      <c r="F246" s="278"/>
      <c r="G246" s="388" t="s">
        <v>309</v>
      </c>
      <c r="H246" s="254" t="s">
        <v>295</v>
      </c>
      <c r="I246" s="255"/>
      <c r="J246" s="380"/>
      <c r="K246" s="381"/>
      <c r="L246" s="382">
        <f t="shared" si="78"/>
        <v>1</v>
      </c>
      <c r="M246" s="383">
        <f t="shared" si="79"/>
        <v>2</v>
      </c>
      <c r="N246" s="384">
        <f t="shared" si="80"/>
        <v>3</v>
      </c>
      <c r="O246" s="385">
        <f t="shared" si="81"/>
        <v>4</v>
      </c>
      <c r="P246" s="369"/>
      <c r="Q246" s="369"/>
      <c r="R246" s="369"/>
      <c r="S246" s="369"/>
      <c r="T246" s="314"/>
      <c r="U246" s="389" t="s">
        <v>385</v>
      </c>
      <c r="V246" s="261"/>
      <c r="W246" s="261"/>
      <c r="X246" s="181"/>
      <c r="Y246" s="181"/>
      <c r="Z246" s="218"/>
      <c r="AA246" s="365"/>
      <c r="AB246" s="365"/>
      <c r="AC246" s="365"/>
      <c r="AD246" s="165"/>
      <c r="AE246" s="165"/>
      <c r="AF246" s="165"/>
      <c r="AG246" s="165"/>
      <c r="AH246" s="165"/>
      <c r="AI246" s="165"/>
      <c r="AJ246" s="165"/>
      <c r="AK246" s="165"/>
      <c r="AL246" s="165"/>
      <c r="AM246" s="165"/>
      <c r="AN246" s="165"/>
      <c r="AO246" s="165"/>
      <c r="AP246" s="165"/>
      <c r="AQ246" s="165"/>
    </row>
    <row r="247" ht="15.75" customHeight="1">
      <c r="A247" s="273" t="s">
        <v>386</v>
      </c>
      <c r="B247" s="378"/>
      <c r="C247" s="332" t="s">
        <v>387</v>
      </c>
      <c r="D247" s="333"/>
      <c r="E247" s="333"/>
      <c r="F247" s="334"/>
      <c r="G247" s="379" t="s">
        <v>337</v>
      </c>
      <c r="H247" s="254" t="s">
        <v>314</v>
      </c>
      <c r="I247" s="419"/>
      <c r="J247" s="381"/>
      <c r="K247" s="381"/>
      <c r="L247" s="382">
        <f t="shared" si="78"/>
        <v>1</v>
      </c>
      <c r="M247" s="383">
        <f t="shared" si="79"/>
        <v>2</v>
      </c>
      <c r="N247" s="384">
        <f t="shared" si="80"/>
        <v>3</v>
      </c>
      <c r="O247" s="385">
        <f t="shared" si="81"/>
        <v>4</v>
      </c>
      <c r="P247" s="369"/>
      <c r="Q247" s="369"/>
      <c r="R247" s="369"/>
      <c r="S247" s="369"/>
      <c r="T247" s="314"/>
      <c r="U247" s="261"/>
      <c r="V247" s="261"/>
      <c r="W247" s="261"/>
      <c r="X247" s="181"/>
      <c r="Y247" s="181"/>
      <c r="Z247" s="218"/>
      <c r="AA247" s="365"/>
      <c r="AB247" s="365"/>
      <c r="AC247" s="365"/>
      <c r="AD247" s="165"/>
      <c r="AE247" s="165"/>
      <c r="AF247" s="165"/>
      <c r="AG247" s="165"/>
      <c r="AH247" s="165"/>
      <c r="AI247" s="165"/>
      <c r="AJ247" s="165"/>
      <c r="AK247" s="165"/>
      <c r="AL247" s="165"/>
      <c r="AM247" s="165"/>
      <c r="AN247" s="165"/>
      <c r="AO247" s="165"/>
      <c r="AP247" s="165"/>
      <c r="AQ247" s="165"/>
    </row>
    <row r="248" ht="15.75" customHeight="1">
      <c r="A248" s="308"/>
      <c r="B248" s="420"/>
      <c r="C248" s="421"/>
      <c r="D248" s="421"/>
      <c r="E248" s="421"/>
      <c r="F248" s="421"/>
      <c r="G248" s="422"/>
      <c r="H248" s="338"/>
      <c r="I248" s="339"/>
      <c r="J248" s="368"/>
      <c r="K248" s="368"/>
      <c r="L248" s="418"/>
      <c r="M248" s="418"/>
      <c r="N248" s="418"/>
      <c r="O248" s="418"/>
      <c r="P248" s="369"/>
      <c r="Q248" s="369"/>
      <c r="R248" s="369"/>
      <c r="S248" s="369"/>
      <c r="T248" s="314"/>
      <c r="U248" s="261"/>
      <c r="V248" s="261"/>
      <c r="W248" s="261"/>
      <c r="X248" s="181"/>
      <c r="Y248" s="181"/>
      <c r="Z248" s="218"/>
      <c r="AA248" s="365"/>
      <c r="AB248" s="365"/>
      <c r="AC248" s="365"/>
      <c r="AD248" s="165"/>
      <c r="AE248" s="165"/>
      <c r="AF248" s="165"/>
      <c r="AG248" s="165"/>
      <c r="AH248" s="165"/>
      <c r="AI248" s="165"/>
      <c r="AJ248" s="165"/>
      <c r="AK248" s="165"/>
      <c r="AL248" s="165"/>
      <c r="AM248" s="165"/>
      <c r="AN248" s="165"/>
      <c r="AO248" s="165"/>
      <c r="AP248" s="165"/>
      <c r="AQ248" s="165"/>
    </row>
    <row r="249" ht="15.75" customHeight="1">
      <c r="A249" s="371">
        <v>9.0</v>
      </c>
      <c r="B249" s="401"/>
      <c r="C249" s="402" t="s">
        <v>388</v>
      </c>
      <c r="D249" s="226"/>
      <c r="E249" s="226"/>
      <c r="F249" s="227"/>
      <c r="G249" s="271"/>
      <c r="H249" s="287"/>
      <c r="I249" s="231"/>
      <c r="J249" s="372"/>
      <c r="K249" s="372"/>
      <c r="L249" s="373">
        <f t="shared" ref="L249:O249" si="82">AVERAGEIF(L251:L262,"&gt;= 0")</f>
        <v>1</v>
      </c>
      <c r="M249" s="373">
        <f t="shared" si="82"/>
        <v>2</v>
      </c>
      <c r="N249" s="373">
        <f t="shared" si="82"/>
        <v>3</v>
      </c>
      <c r="O249" s="373">
        <f t="shared" si="82"/>
        <v>4</v>
      </c>
      <c r="P249" s="374"/>
      <c r="Q249" s="374"/>
      <c r="R249" s="374"/>
      <c r="S249" s="374"/>
      <c r="T249" s="236"/>
      <c r="U249" s="261"/>
      <c r="V249" s="261"/>
      <c r="W249" s="261"/>
      <c r="X249" s="181"/>
      <c r="Y249" s="181"/>
      <c r="Z249" s="218"/>
      <c r="AA249" s="365"/>
      <c r="AB249" s="365"/>
      <c r="AC249" s="365"/>
      <c r="AD249" s="165"/>
      <c r="AE249" s="165"/>
      <c r="AF249" s="165"/>
      <c r="AG249" s="165"/>
      <c r="AH249" s="165"/>
      <c r="AI249" s="165"/>
      <c r="AJ249" s="165"/>
      <c r="AK249" s="165"/>
      <c r="AL249" s="165"/>
      <c r="AM249" s="165"/>
      <c r="AN249" s="165"/>
      <c r="AO249" s="165"/>
      <c r="AP249" s="165"/>
      <c r="AQ249" s="165"/>
    </row>
    <row r="250" ht="15.75" customHeight="1">
      <c r="A250" s="237"/>
      <c r="B250" s="403"/>
      <c r="C250" s="403"/>
      <c r="D250" s="403"/>
      <c r="E250" s="403"/>
      <c r="F250" s="403"/>
      <c r="G250" s="241"/>
      <c r="H250" s="139"/>
      <c r="I250" s="242"/>
      <c r="J250" s="375"/>
      <c r="K250" s="375"/>
      <c r="L250" s="376"/>
      <c r="M250" s="376"/>
      <c r="N250" s="376"/>
      <c r="O250" s="376"/>
      <c r="P250" s="377"/>
      <c r="Q250" s="377"/>
      <c r="R250" s="377"/>
      <c r="S250" s="377"/>
      <c r="T250" s="247"/>
      <c r="U250" s="261"/>
      <c r="V250" s="262"/>
      <c r="W250" s="262"/>
      <c r="X250" s="181"/>
      <c r="Y250" s="181"/>
      <c r="Z250" s="218"/>
      <c r="AA250" s="365"/>
      <c r="AB250" s="365"/>
      <c r="AC250" s="365"/>
      <c r="AD250" s="165"/>
      <c r="AE250" s="165"/>
      <c r="AF250" s="165"/>
      <c r="AG250" s="165"/>
      <c r="AH250" s="165"/>
      <c r="AI250" s="165"/>
      <c r="AJ250" s="165"/>
      <c r="AK250" s="165"/>
      <c r="AL250" s="165"/>
      <c r="AM250" s="165"/>
      <c r="AN250" s="165"/>
      <c r="AO250" s="165"/>
      <c r="AP250" s="165"/>
      <c r="AQ250" s="165"/>
    </row>
    <row r="251" ht="15.75" customHeight="1">
      <c r="A251" s="273" t="s">
        <v>266</v>
      </c>
      <c r="B251" s="378"/>
      <c r="C251" s="279" t="s">
        <v>389</v>
      </c>
      <c r="D251" s="277"/>
      <c r="E251" s="277"/>
      <c r="F251" s="278"/>
      <c r="G251" s="388" t="s">
        <v>337</v>
      </c>
      <c r="H251" s="254" t="s">
        <v>291</v>
      </c>
      <c r="I251" s="255"/>
      <c r="J251" s="423"/>
      <c r="K251" s="423"/>
      <c r="L251" s="382">
        <f t="shared" ref="L251:L262" si="83">1</f>
        <v>1</v>
      </c>
      <c r="M251" s="383">
        <f t="shared" ref="M251:M262" si="84">2</f>
        <v>2</v>
      </c>
      <c r="N251" s="384">
        <f t="shared" ref="N251:N262" si="85">3</f>
        <v>3</v>
      </c>
      <c r="O251" s="385">
        <f t="shared" ref="O251:O262" si="86">4</f>
        <v>4</v>
      </c>
      <c r="P251" s="386"/>
      <c r="Q251" s="386"/>
      <c r="R251" s="386"/>
      <c r="S251" s="386"/>
      <c r="T251" s="304"/>
      <c r="U251" s="387" t="s">
        <v>390</v>
      </c>
      <c r="V251" s="262"/>
      <c r="W251" s="262"/>
      <c r="X251" s="262" t="s">
        <v>132</v>
      </c>
      <c r="Y251" s="181"/>
      <c r="Z251" s="218"/>
      <c r="AA251" s="365"/>
      <c r="AB251" s="365"/>
      <c r="AC251" s="365"/>
      <c r="AD251" s="165"/>
      <c r="AE251" s="165"/>
      <c r="AF251" s="165"/>
      <c r="AG251" s="165"/>
      <c r="AH251" s="165"/>
      <c r="AI251" s="165"/>
      <c r="AJ251" s="165"/>
      <c r="AK251" s="165"/>
      <c r="AL251" s="165"/>
      <c r="AM251" s="165"/>
      <c r="AN251" s="165"/>
      <c r="AO251" s="165"/>
      <c r="AP251" s="165"/>
      <c r="AQ251" s="165"/>
    </row>
    <row r="252" ht="15.75" customHeight="1">
      <c r="A252" s="273" t="s">
        <v>269</v>
      </c>
      <c r="B252" s="378"/>
      <c r="C252" s="279" t="s">
        <v>391</v>
      </c>
      <c r="D252" s="277"/>
      <c r="E252" s="277"/>
      <c r="F252" s="278"/>
      <c r="G252" s="388" t="s">
        <v>56</v>
      </c>
      <c r="H252" s="254" t="s">
        <v>295</v>
      </c>
      <c r="I252" s="255"/>
      <c r="J252" s="423"/>
      <c r="K252" s="423"/>
      <c r="L252" s="382">
        <f t="shared" si="83"/>
        <v>1</v>
      </c>
      <c r="M252" s="383">
        <f t="shared" si="84"/>
        <v>2</v>
      </c>
      <c r="N252" s="384">
        <f t="shared" si="85"/>
        <v>3</v>
      </c>
      <c r="O252" s="385">
        <f t="shared" si="86"/>
        <v>4</v>
      </c>
      <c r="P252" s="386"/>
      <c r="Q252" s="386"/>
      <c r="R252" s="386"/>
      <c r="S252" s="386"/>
      <c r="T252" s="304"/>
      <c r="U252" s="389" t="s">
        <v>392</v>
      </c>
      <c r="V252" s="262"/>
      <c r="W252" s="262"/>
      <c r="X252" s="262" t="s">
        <v>132</v>
      </c>
      <c r="Y252" s="181"/>
      <c r="Z252" s="218"/>
      <c r="AA252" s="365"/>
      <c r="AB252" s="365"/>
      <c r="AC252" s="365"/>
      <c r="AD252" s="165"/>
      <c r="AE252" s="165"/>
      <c r="AF252" s="165"/>
      <c r="AG252" s="165"/>
      <c r="AH252" s="165"/>
      <c r="AI252" s="165"/>
      <c r="AJ252" s="165"/>
      <c r="AK252" s="165"/>
      <c r="AL252" s="165"/>
      <c r="AM252" s="165"/>
      <c r="AN252" s="165"/>
      <c r="AO252" s="165"/>
      <c r="AP252" s="165"/>
      <c r="AQ252" s="165"/>
    </row>
    <row r="253" ht="15.75" customHeight="1">
      <c r="A253" s="273" t="s">
        <v>272</v>
      </c>
      <c r="B253" s="378"/>
      <c r="C253" s="279" t="s">
        <v>393</v>
      </c>
      <c r="D253" s="277"/>
      <c r="E253" s="277"/>
      <c r="F253" s="278"/>
      <c r="G253" s="388" t="s">
        <v>307</v>
      </c>
      <c r="H253" s="255" t="s">
        <v>291</v>
      </c>
      <c r="I253" s="255"/>
      <c r="J253" s="423"/>
      <c r="K253" s="423"/>
      <c r="L253" s="382">
        <f t="shared" si="83"/>
        <v>1</v>
      </c>
      <c r="M253" s="383">
        <f t="shared" si="84"/>
        <v>2</v>
      </c>
      <c r="N253" s="384">
        <f t="shared" si="85"/>
        <v>3</v>
      </c>
      <c r="O253" s="385">
        <f t="shared" si="86"/>
        <v>4</v>
      </c>
      <c r="P253" s="390"/>
      <c r="Q253" s="390"/>
      <c r="R253" s="390"/>
      <c r="S253" s="390"/>
      <c r="T253" s="391"/>
      <c r="U253" s="261"/>
      <c r="V253" s="262"/>
      <c r="W253" s="262"/>
      <c r="X253" s="181"/>
      <c r="Y253" s="181"/>
      <c r="Z253" s="218"/>
      <c r="AA253" s="365"/>
      <c r="AB253" s="365"/>
      <c r="AC253" s="365"/>
      <c r="AD253" s="165"/>
      <c r="AE253" s="165"/>
      <c r="AF253" s="165"/>
      <c r="AG253" s="165"/>
      <c r="AH253" s="165"/>
      <c r="AI253" s="165"/>
      <c r="AJ253" s="165"/>
      <c r="AK253" s="165"/>
      <c r="AL253" s="165"/>
      <c r="AM253" s="165"/>
      <c r="AN253" s="165"/>
      <c r="AO253" s="165"/>
      <c r="AP253" s="165"/>
      <c r="AQ253" s="165"/>
    </row>
    <row r="254" ht="15.75" customHeight="1">
      <c r="A254" s="273" t="s">
        <v>275</v>
      </c>
      <c r="B254" s="378"/>
      <c r="C254" s="279" t="s">
        <v>394</v>
      </c>
      <c r="D254" s="277"/>
      <c r="E254" s="277"/>
      <c r="F254" s="278"/>
      <c r="G254" s="388" t="s">
        <v>56</v>
      </c>
      <c r="H254" s="254" t="s">
        <v>295</v>
      </c>
      <c r="I254" s="255"/>
      <c r="J254" s="423"/>
      <c r="K254" s="423"/>
      <c r="L254" s="382">
        <f t="shared" si="83"/>
        <v>1</v>
      </c>
      <c r="M254" s="383">
        <f t="shared" si="84"/>
        <v>2</v>
      </c>
      <c r="N254" s="384">
        <f t="shared" si="85"/>
        <v>3</v>
      </c>
      <c r="O254" s="385">
        <f t="shared" si="86"/>
        <v>4</v>
      </c>
      <c r="P254" s="390"/>
      <c r="Q254" s="390"/>
      <c r="R254" s="390"/>
      <c r="S254" s="390"/>
      <c r="T254" s="391"/>
      <c r="U254" s="261"/>
      <c r="V254" s="262"/>
      <c r="W254" s="262"/>
      <c r="X254" s="181"/>
      <c r="Y254" s="181"/>
      <c r="Z254" s="218"/>
      <c r="AA254" s="365"/>
      <c r="AB254" s="365"/>
      <c r="AC254" s="365"/>
      <c r="AD254" s="165"/>
      <c r="AE254" s="165"/>
      <c r="AF254" s="165"/>
      <c r="AG254" s="165"/>
      <c r="AH254" s="165"/>
      <c r="AI254" s="165"/>
      <c r="AJ254" s="165"/>
      <c r="AK254" s="165"/>
      <c r="AL254" s="165"/>
      <c r="AM254" s="165"/>
      <c r="AN254" s="165"/>
      <c r="AO254" s="165"/>
      <c r="AP254" s="165"/>
      <c r="AQ254" s="165"/>
    </row>
    <row r="255" ht="15.75" customHeight="1">
      <c r="A255" s="273" t="s">
        <v>278</v>
      </c>
      <c r="B255" s="378"/>
      <c r="C255" s="279" t="s">
        <v>395</v>
      </c>
      <c r="D255" s="277"/>
      <c r="E255" s="277"/>
      <c r="F255" s="278"/>
      <c r="G255" s="388" t="s">
        <v>317</v>
      </c>
      <c r="H255" s="254" t="s">
        <v>314</v>
      </c>
      <c r="I255" s="255"/>
      <c r="J255" s="423"/>
      <c r="K255" s="423"/>
      <c r="L255" s="382">
        <f t="shared" si="83"/>
        <v>1</v>
      </c>
      <c r="M255" s="383">
        <f t="shared" si="84"/>
        <v>2</v>
      </c>
      <c r="N255" s="384">
        <f t="shared" si="85"/>
        <v>3</v>
      </c>
      <c r="O255" s="385">
        <f t="shared" si="86"/>
        <v>4</v>
      </c>
      <c r="P255" s="390"/>
      <c r="Q255" s="390"/>
      <c r="R255" s="390"/>
      <c r="S255" s="390"/>
      <c r="T255" s="391"/>
      <c r="U255" s="261"/>
      <c r="V255" s="262"/>
      <c r="W255" s="262"/>
      <c r="X255" s="181"/>
      <c r="Y255" s="181"/>
      <c r="Z255" s="218"/>
      <c r="AA255" s="365"/>
      <c r="AB255" s="365"/>
      <c r="AC255" s="365"/>
      <c r="AD255" s="165"/>
      <c r="AE255" s="165"/>
      <c r="AF255" s="165"/>
      <c r="AG255" s="165"/>
      <c r="AH255" s="165"/>
      <c r="AI255" s="165"/>
      <c r="AJ255" s="165"/>
      <c r="AK255" s="165"/>
      <c r="AL255" s="165"/>
      <c r="AM255" s="165"/>
      <c r="AN255" s="165"/>
      <c r="AO255" s="165"/>
      <c r="AP255" s="165"/>
      <c r="AQ255" s="165"/>
    </row>
    <row r="256" ht="15.75" customHeight="1">
      <c r="A256" s="273" t="s">
        <v>281</v>
      </c>
      <c r="B256" s="378"/>
      <c r="C256" s="279" t="s">
        <v>396</v>
      </c>
      <c r="D256" s="277"/>
      <c r="E256" s="277"/>
      <c r="F256" s="278"/>
      <c r="G256" s="388" t="s">
        <v>317</v>
      </c>
      <c r="H256" s="254" t="s">
        <v>291</v>
      </c>
      <c r="I256" s="255"/>
      <c r="J256" s="423"/>
      <c r="K256" s="423"/>
      <c r="L256" s="382">
        <f t="shared" si="83"/>
        <v>1</v>
      </c>
      <c r="M256" s="383">
        <f t="shared" si="84"/>
        <v>2</v>
      </c>
      <c r="N256" s="384">
        <f t="shared" si="85"/>
        <v>3</v>
      </c>
      <c r="O256" s="385">
        <f t="shared" si="86"/>
        <v>4</v>
      </c>
      <c r="P256" s="390"/>
      <c r="Q256" s="390"/>
      <c r="R256" s="390"/>
      <c r="S256" s="390"/>
      <c r="T256" s="391"/>
      <c r="U256" s="261"/>
      <c r="V256" s="262"/>
      <c r="W256" s="262"/>
      <c r="X256" s="181"/>
      <c r="Y256" s="181"/>
      <c r="Z256" s="218"/>
      <c r="AA256" s="365"/>
      <c r="AB256" s="365"/>
      <c r="AC256" s="365"/>
      <c r="AD256" s="165"/>
      <c r="AE256" s="165"/>
      <c r="AF256" s="165"/>
      <c r="AG256" s="165"/>
      <c r="AH256" s="165"/>
      <c r="AI256" s="165"/>
      <c r="AJ256" s="165"/>
      <c r="AK256" s="165"/>
      <c r="AL256" s="165"/>
      <c r="AM256" s="165"/>
      <c r="AN256" s="165"/>
      <c r="AO256" s="165"/>
      <c r="AP256" s="165"/>
      <c r="AQ256" s="165"/>
    </row>
    <row r="257" ht="15.75" customHeight="1">
      <c r="A257" s="273" t="s">
        <v>284</v>
      </c>
      <c r="B257" s="378"/>
      <c r="C257" s="279" t="s">
        <v>397</v>
      </c>
      <c r="D257" s="277"/>
      <c r="E257" s="277"/>
      <c r="F257" s="278"/>
      <c r="G257" s="388" t="s">
        <v>317</v>
      </c>
      <c r="H257" s="254" t="s">
        <v>295</v>
      </c>
      <c r="I257" s="255"/>
      <c r="J257" s="423"/>
      <c r="K257" s="423"/>
      <c r="L257" s="382">
        <f t="shared" si="83"/>
        <v>1</v>
      </c>
      <c r="M257" s="383">
        <f t="shared" si="84"/>
        <v>2</v>
      </c>
      <c r="N257" s="384">
        <f t="shared" si="85"/>
        <v>3</v>
      </c>
      <c r="O257" s="385">
        <f t="shared" si="86"/>
        <v>4</v>
      </c>
      <c r="P257" s="390"/>
      <c r="Q257" s="390"/>
      <c r="R257" s="390"/>
      <c r="S257" s="390"/>
      <c r="T257" s="391"/>
      <c r="U257" s="261"/>
      <c r="V257" s="262"/>
      <c r="W257" s="262"/>
      <c r="X257" s="181"/>
      <c r="Y257" s="181"/>
      <c r="Z257" s="218"/>
      <c r="AA257" s="365"/>
      <c r="AB257" s="365"/>
      <c r="AC257" s="365"/>
      <c r="AD257" s="165"/>
      <c r="AE257" s="165"/>
      <c r="AF257" s="165"/>
      <c r="AG257" s="165"/>
      <c r="AH257" s="165"/>
      <c r="AI257" s="165"/>
      <c r="AJ257" s="165"/>
      <c r="AK257" s="165"/>
      <c r="AL257" s="165"/>
      <c r="AM257" s="165"/>
      <c r="AN257" s="165"/>
      <c r="AO257" s="165"/>
      <c r="AP257" s="165"/>
      <c r="AQ257" s="165"/>
    </row>
    <row r="258" ht="15.75" customHeight="1">
      <c r="A258" s="273" t="s">
        <v>287</v>
      </c>
      <c r="B258" s="378"/>
      <c r="C258" s="279" t="s">
        <v>398</v>
      </c>
      <c r="D258" s="277"/>
      <c r="E258" s="277"/>
      <c r="F258" s="278"/>
      <c r="G258" s="388" t="s">
        <v>60</v>
      </c>
      <c r="H258" s="255" t="s">
        <v>291</v>
      </c>
      <c r="I258" s="255"/>
      <c r="J258" s="423"/>
      <c r="K258" s="423"/>
      <c r="L258" s="382">
        <f t="shared" si="83"/>
        <v>1</v>
      </c>
      <c r="M258" s="383">
        <f t="shared" si="84"/>
        <v>2</v>
      </c>
      <c r="N258" s="384">
        <f t="shared" si="85"/>
        <v>3</v>
      </c>
      <c r="O258" s="385">
        <f t="shared" si="86"/>
        <v>4</v>
      </c>
      <c r="P258" s="390"/>
      <c r="Q258" s="390"/>
      <c r="R258" s="390"/>
      <c r="S258" s="390"/>
      <c r="T258" s="392"/>
      <c r="U258" s="261"/>
      <c r="V258" s="262"/>
      <c r="W258" s="262"/>
      <c r="X258" s="181"/>
      <c r="Y258" s="181"/>
      <c r="Z258" s="218"/>
      <c r="AA258" s="365"/>
      <c r="AB258" s="365"/>
      <c r="AC258" s="365"/>
      <c r="AD258" s="165"/>
      <c r="AE258" s="165"/>
      <c r="AF258" s="165"/>
      <c r="AG258" s="165"/>
      <c r="AH258" s="165"/>
      <c r="AI258" s="165"/>
      <c r="AJ258" s="165"/>
      <c r="AK258" s="165"/>
      <c r="AL258" s="165"/>
      <c r="AM258" s="165"/>
      <c r="AN258" s="165"/>
      <c r="AO258" s="165"/>
      <c r="AP258" s="165"/>
      <c r="AQ258" s="165"/>
    </row>
    <row r="259" ht="15.75" customHeight="1">
      <c r="A259" s="273" t="s">
        <v>399</v>
      </c>
      <c r="B259" s="378"/>
      <c r="C259" s="279" t="s">
        <v>400</v>
      </c>
      <c r="D259" s="277"/>
      <c r="E259" s="277"/>
      <c r="F259" s="278"/>
      <c r="G259" s="388" t="s">
        <v>58</v>
      </c>
      <c r="H259" s="254" t="s">
        <v>295</v>
      </c>
      <c r="I259" s="255"/>
      <c r="J259" s="423"/>
      <c r="K259" s="423"/>
      <c r="L259" s="382">
        <f t="shared" si="83"/>
        <v>1</v>
      </c>
      <c r="M259" s="383">
        <f t="shared" si="84"/>
        <v>2</v>
      </c>
      <c r="N259" s="384">
        <f t="shared" si="85"/>
        <v>3</v>
      </c>
      <c r="O259" s="385">
        <f t="shared" si="86"/>
        <v>4</v>
      </c>
      <c r="P259" s="406"/>
      <c r="Q259" s="406"/>
      <c r="R259" s="406"/>
      <c r="S259" s="406"/>
      <c r="T259" s="160"/>
      <c r="U259" s="261"/>
      <c r="V259" s="262"/>
      <c r="W259" s="262"/>
      <c r="X259" s="181"/>
      <c r="Y259" s="181"/>
      <c r="Z259" s="218"/>
      <c r="AA259" s="365"/>
      <c r="AB259" s="365"/>
      <c r="AC259" s="365"/>
      <c r="AD259" s="165"/>
      <c r="AE259" s="165"/>
      <c r="AF259" s="165"/>
      <c r="AG259" s="165"/>
      <c r="AH259" s="165"/>
      <c r="AI259" s="165"/>
      <c r="AJ259" s="165"/>
      <c r="AK259" s="165"/>
      <c r="AL259" s="165"/>
      <c r="AM259" s="165"/>
      <c r="AN259" s="165"/>
      <c r="AO259" s="165"/>
      <c r="AP259" s="165"/>
      <c r="AQ259" s="165"/>
    </row>
    <row r="260" ht="15.75" customHeight="1">
      <c r="A260" s="273" t="s">
        <v>401</v>
      </c>
      <c r="B260" s="378"/>
      <c r="C260" s="279" t="s">
        <v>402</v>
      </c>
      <c r="D260" s="277"/>
      <c r="E260" s="277"/>
      <c r="F260" s="278"/>
      <c r="G260" s="388" t="s">
        <v>60</v>
      </c>
      <c r="H260" s="254" t="s">
        <v>314</v>
      </c>
      <c r="I260" s="255"/>
      <c r="J260" s="423"/>
      <c r="K260" s="423"/>
      <c r="L260" s="382">
        <f t="shared" si="83"/>
        <v>1</v>
      </c>
      <c r="M260" s="383">
        <f t="shared" si="84"/>
        <v>2</v>
      </c>
      <c r="N260" s="384">
        <f t="shared" si="85"/>
        <v>3</v>
      </c>
      <c r="O260" s="385">
        <f t="shared" si="86"/>
        <v>4</v>
      </c>
      <c r="P260" s="406"/>
      <c r="Q260" s="406"/>
      <c r="R260" s="406"/>
      <c r="S260" s="406"/>
      <c r="T260" s="160"/>
      <c r="U260" s="389" t="s">
        <v>403</v>
      </c>
      <c r="V260" s="262"/>
      <c r="W260" s="262"/>
      <c r="X260" s="262" t="s">
        <v>132</v>
      </c>
      <c r="Y260" s="181"/>
      <c r="Z260" s="218"/>
      <c r="AA260" s="365"/>
      <c r="AB260" s="365"/>
      <c r="AC260" s="365"/>
      <c r="AD260" s="165"/>
      <c r="AE260" s="165"/>
      <c r="AF260" s="165"/>
      <c r="AG260" s="165"/>
      <c r="AH260" s="165"/>
      <c r="AI260" s="165"/>
      <c r="AJ260" s="165"/>
      <c r="AK260" s="165"/>
      <c r="AL260" s="165"/>
      <c r="AM260" s="165"/>
      <c r="AN260" s="165"/>
      <c r="AO260" s="165"/>
      <c r="AP260" s="165"/>
      <c r="AQ260" s="165"/>
    </row>
    <row r="261" ht="15.75" customHeight="1">
      <c r="A261" s="273" t="s">
        <v>404</v>
      </c>
      <c r="B261" s="378"/>
      <c r="C261" s="279" t="s">
        <v>405</v>
      </c>
      <c r="D261" s="277"/>
      <c r="E261" s="277"/>
      <c r="F261" s="278"/>
      <c r="G261" s="424" t="s">
        <v>57</v>
      </c>
      <c r="H261" s="255" t="s">
        <v>291</v>
      </c>
      <c r="I261" s="255"/>
      <c r="J261" s="423"/>
      <c r="K261" s="423"/>
      <c r="L261" s="382">
        <f t="shared" si="83"/>
        <v>1</v>
      </c>
      <c r="M261" s="383">
        <f t="shared" si="84"/>
        <v>2</v>
      </c>
      <c r="N261" s="384">
        <f t="shared" si="85"/>
        <v>3</v>
      </c>
      <c r="O261" s="385">
        <f t="shared" si="86"/>
        <v>4</v>
      </c>
      <c r="P261" s="406"/>
      <c r="Q261" s="406"/>
      <c r="R261" s="406"/>
      <c r="S261" s="406"/>
      <c r="T261" s="160"/>
      <c r="U261" s="262"/>
      <c r="V261" s="262"/>
      <c r="W261" s="262"/>
      <c r="X261" s="181"/>
      <c r="Y261" s="181"/>
      <c r="Z261" s="218"/>
      <c r="AA261" s="365"/>
      <c r="AB261" s="365"/>
      <c r="AC261" s="365"/>
      <c r="AD261" s="165"/>
      <c r="AE261" s="165"/>
      <c r="AF261" s="165"/>
      <c r="AG261" s="165"/>
      <c r="AH261" s="165"/>
      <c r="AI261" s="165"/>
      <c r="AJ261" s="165"/>
      <c r="AK261" s="165"/>
      <c r="AL261" s="165"/>
      <c r="AM261" s="165"/>
      <c r="AN261" s="165"/>
      <c r="AO261" s="165"/>
      <c r="AP261" s="165"/>
      <c r="AQ261" s="165"/>
    </row>
    <row r="262" ht="15.75" customHeight="1">
      <c r="A262" s="273" t="s">
        <v>406</v>
      </c>
      <c r="B262" s="378"/>
      <c r="C262" s="332" t="s">
        <v>407</v>
      </c>
      <c r="D262" s="333"/>
      <c r="E262" s="333"/>
      <c r="F262" s="334"/>
      <c r="G262" s="424" t="s">
        <v>57</v>
      </c>
      <c r="H262" s="400" t="s">
        <v>291</v>
      </c>
      <c r="I262" s="400"/>
      <c r="J262" s="425"/>
      <c r="K262" s="425"/>
      <c r="L262" s="382">
        <f t="shared" si="83"/>
        <v>1</v>
      </c>
      <c r="M262" s="383">
        <f t="shared" si="84"/>
        <v>2</v>
      </c>
      <c r="N262" s="384">
        <f t="shared" si="85"/>
        <v>3</v>
      </c>
      <c r="O262" s="385">
        <f t="shared" si="86"/>
        <v>4</v>
      </c>
      <c r="P262" s="406"/>
      <c r="Q262" s="406"/>
      <c r="R262" s="406"/>
      <c r="S262" s="406"/>
      <c r="T262" s="160"/>
      <c r="U262" s="248"/>
      <c r="V262" s="248"/>
      <c r="W262" s="248"/>
      <c r="X262" s="181"/>
      <c r="Y262" s="181"/>
      <c r="Z262" s="218"/>
      <c r="AA262" s="365"/>
      <c r="AB262" s="365"/>
      <c r="AC262" s="365"/>
      <c r="AD262" s="165"/>
      <c r="AE262" s="165"/>
      <c r="AF262" s="165"/>
      <c r="AG262" s="165"/>
      <c r="AH262" s="165"/>
      <c r="AI262" s="165"/>
      <c r="AJ262" s="165"/>
      <c r="AK262" s="165"/>
      <c r="AL262" s="165"/>
      <c r="AM262" s="165"/>
      <c r="AN262" s="165"/>
      <c r="AO262" s="165"/>
      <c r="AP262" s="165"/>
      <c r="AQ262" s="165"/>
    </row>
    <row r="263" ht="12.75" customHeight="1">
      <c r="A263" s="426"/>
      <c r="B263" s="421"/>
      <c r="C263" s="421"/>
      <c r="D263" s="421"/>
      <c r="E263" s="421"/>
      <c r="F263" s="421"/>
      <c r="G263" s="421"/>
      <c r="H263" s="427"/>
      <c r="I263" s="268"/>
      <c r="J263" s="396"/>
      <c r="K263" s="396"/>
      <c r="L263" s="397"/>
      <c r="M263" s="397"/>
      <c r="N263" s="397"/>
      <c r="O263" s="397"/>
      <c r="P263" s="406"/>
      <c r="Q263" s="406"/>
      <c r="R263" s="406"/>
      <c r="S263" s="406"/>
      <c r="T263" s="160"/>
      <c r="U263" s="248"/>
      <c r="V263" s="248"/>
      <c r="W263" s="248"/>
      <c r="X263" s="181"/>
      <c r="Y263" s="181"/>
      <c r="Z263" s="218"/>
      <c r="AA263" s="365"/>
      <c r="AB263" s="365"/>
      <c r="AC263" s="365"/>
      <c r="AD263" s="165"/>
      <c r="AE263" s="165"/>
      <c r="AF263" s="165"/>
      <c r="AG263" s="165"/>
      <c r="AH263" s="165"/>
      <c r="AI263" s="165"/>
      <c r="AJ263" s="165"/>
      <c r="AK263" s="165"/>
      <c r="AL263" s="165"/>
      <c r="AM263" s="165"/>
      <c r="AN263" s="165"/>
      <c r="AO263" s="165"/>
      <c r="AP263" s="165"/>
      <c r="AQ263" s="165"/>
    </row>
    <row r="264" ht="12.75" customHeight="1">
      <c r="A264" s="426"/>
      <c r="B264" s="428"/>
      <c r="C264" s="428"/>
      <c r="D264" s="428"/>
      <c r="E264" s="428"/>
      <c r="F264" s="428"/>
      <c r="G264" s="428"/>
      <c r="H264" s="427"/>
      <c r="I264" s="268"/>
      <c r="J264" s="396"/>
      <c r="K264" s="396"/>
      <c r="L264" s="397"/>
      <c r="M264" s="397"/>
      <c r="N264" s="397"/>
      <c r="O264" s="397"/>
      <c r="P264" s="406"/>
      <c r="Q264" s="406"/>
      <c r="R264" s="406"/>
      <c r="S264" s="406"/>
      <c r="T264" s="160"/>
      <c r="U264" s="248"/>
      <c r="V264" s="248"/>
      <c r="W264" s="248"/>
      <c r="X264" s="181"/>
      <c r="Y264" s="181"/>
      <c r="Z264" s="218"/>
      <c r="AA264" s="365"/>
      <c r="AB264" s="365"/>
      <c r="AC264" s="365"/>
      <c r="AD264" s="165"/>
      <c r="AE264" s="165"/>
      <c r="AF264" s="165"/>
      <c r="AG264" s="165"/>
      <c r="AH264" s="165"/>
      <c r="AI264" s="165"/>
      <c r="AJ264" s="165"/>
      <c r="AK264" s="165"/>
      <c r="AL264" s="165"/>
      <c r="AM264" s="165"/>
      <c r="AN264" s="165"/>
      <c r="AO264" s="165"/>
      <c r="AP264" s="165"/>
      <c r="AQ264" s="165"/>
    </row>
    <row r="265" ht="12.75" customHeight="1">
      <c r="A265" s="426"/>
      <c r="B265" s="428"/>
      <c r="C265" s="428"/>
      <c r="D265" s="428"/>
      <c r="E265" s="428"/>
      <c r="F265" s="428"/>
      <c r="G265" s="428"/>
      <c r="H265" s="427"/>
      <c r="I265" s="268"/>
      <c r="J265" s="396"/>
      <c r="K265" s="396"/>
      <c r="L265" s="397"/>
      <c r="M265" s="397"/>
      <c r="N265" s="397"/>
      <c r="O265" s="397"/>
      <c r="P265" s="406"/>
      <c r="Q265" s="406"/>
      <c r="R265" s="406"/>
      <c r="S265" s="406"/>
      <c r="T265" s="160"/>
      <c r="U265" s="195"/>
      <c r="V265" s="195"/>
      <c r="W265" s="195"/>
      <c r="X265" s="181"/>
      <c r="Y265" s="181"/>
      <c r="Z265" s="163"/>
      <c r="AA265" s="365"/>
      <c r="AB265" s="365"/>
      <c r="AC265" s="365"/>
      <c r="AD265" s="165"/>
      <c r="AE265" s="165"/>
      <c r="AF265" s="165"/>
      <c r="AG265" s="165"/>
      <c r="AH265" s="165"/>
      <c r="AI265" s="165"/>
      <c r="AJ265" s="165"/>
      <c r="AK265" s="165"/>
      <c r="AL265" s="165"/>
      <c r="AM265" s="165"/>
      <c r="AN265" s="165"/>
      <c r="AO265" s="165"/>
      <c r="AP265" s="165"/>
      <c r="AQ265" s="165"/>
    </row>
    <row r="266" ht="12.75" customHeight="1">
      <c r="A266" s="426"/>
      <c r="B266" s="428"/>
      <c r="C266" s="428"/>
      <c r="D266" s="428"/>
      <c r="E266" s="428"/>
      <c r="F266" s="428"/>
      <c r="G266" s="428"/>
      <c r="H266" s="427"/>
      <c r="I266" s="268"/>
      <c r="J266" s="396"/>
      <c r="K266" s="396"/>
      <c r="L266" s="397"/>
      <c r="M266" s="397"/>
      <c r="N266" s="397"/>
      <c r="O266" s="397"/>
      <c r="P266" s="406"/>
      <c r="Q266" s="406"/>
      <c r="R266" s="406"/>
      <c r="S266" s="406"/>
      <c r="T266" s="160"/>
      <c r="U266" s="195"/>
      <c r="V266" s="195"/>
      <c r="W266" s="195"/>
      <c r="X266" s="181"/>
      <c r="Y266" s="181"/>
      <c r="Z266" s="163"/>
      <c r="AA266" s="365"/>
      <c r="AB266" s="365"/>
      <c r="AC266" s="365"/>
      <c r="AD266" s="165"/>
      <c r="AE266" s="165"/>
      <c r="AF266" s="165"/>
      <c r="AG266" s="165"/>
      <c r="AH266" s="165"/>
      <c r="AI266" s="165"/>
      <c r="AJ266" s="165"/>
      <c r="AK266" s="165"/>
      <c r="AL266" s="165"/>
      <c r="AM266" s="165"/>
      <c r="AN266" s="165"/>
      <c r="AO266" s="165"/>
      <c r="AP266" s="165"/>
      <c r="AQ266" s="165"/>
    </row>
    <row r="267" ht="12.75" customHeight="1">
      <c r="A267" s="426"/>
      <c r="B267" s="165"/>
      <c r="C267" s="165"/>
      <c r="D267" s="165"/>
      <c r="E267" s="165"/>
      <c r="F267" s="165"/>
      <c r="G267" s="165"/>
      <c r="H267" s="427"/>
      <c r="I267" s="268"/>
      <c r="J267" s="396"/>
      <c r="K267" s="396"/>
      <c r="L267" s="397"/>
      <c r="M267" s="397"/>
      <c r="N267" s="397"/>
      <c r="O267" s="397"/>
      <c r="P267" s="406"/>
      <c r="Q267" s="406"/>
      <c r="R267" s="406"/>
      <c r="S267" s="406"/>
      <c r="T267" s="160"/>
      <c r="U267" s="195"/>
      <c r="V267" s="195"/>
      <c r="W267" s="195"/>
      <c r="X267" s="181"/>
      <c r="Y267" s="181"/>
      <c r="Z267" s="163"/>
      <c r="AA267" s="365"/>
      <c r="AB267" s="365"/>
      <c r="AC267" s="365"/>
      <c r="AD267" s="165"/>
      <c r="AE267" s="165"/>
      <c r="AF267" s="165"/>
      <c r="AG267" s="165"/>
      <c r="AH267" s="165"/>
      <c r="AI267" s="165"/>
      <c r="AJ267" s="165"/>
      <c r="AK267" s="165"/>
      <c r="AL267" s="165"/>
      <c r="AM267" s="165"/>
      <c r="AN267" s="165"/>
      <c r="AO267" s="165"/>
      <c r="AP267" s="165"/>
      <c r="AQ267" s="165"/>
    </row>
    <row r="268" ht="12.75" customHeight="1">
      <c r="A268" s="426"/>
      <c r="B268" s="429"/>
      <c r="C268" s="429"/>
      <c r="D268" s="429"/>
      <c r="E268" s="429"/>
      <c r="F268" s="429"/>
      <c r="G268" s="429"/>
      <c r="H268" s="427"/>
      <c r="I268" s="268"/>
      <c r="J268" s="396"/>
      <c r="K268" s="396"/>
      <c r="L268" s="397"/>
      <c r="M268" s="397"/>
      <c r="N268" s="397"/>
      <c r="O268" s="397"/>
      <c r="P268" s="406"/>
      <c r="Q268" s="406"/>
      <c r="R268" s="406"/>
      <c r="S268" s="406"/>
      <c r="T268" s="160"/>
      <c r="U268" s="195"/>
      <c r="V268" s="195"/>
      <c r="W268" s="195"/>
      <c r="X268" s="181"/>
      <c r="Y268" s="181"/>
      <c r="Z268" s="163"/>
      <c r="AA268" s="365"/>
      <c r="AB268" s="365"/>
      <c r="AC268" s="365"/>
      <c r="AD268" s="165"/>
      <c r="AE268" s="165"/>
      <c r="AF268" s="165"/>
      <c r="AG268" s="165"/>
      <c r="AH268" s="165"/>
      <c r="AI268" s="165"/>
      <c r="AJ268" s="165"/>
      <c r="AK268" s="165"/>
      <c r="AL268" s="165"/>
      <c r="AM268" s="165"/>
      <c r="AN268" s="165"/>
      <c r="AO268" s="165"/>
      <c r="AP268" s="165"/>
      <c r="AQ268" s="165"/>
    </row>
    <row r="269" ht="12.75" customHeight="1">
      <c r="A269" s="426"/>
      <c r="B269" s="429"/>
      <c r="C269" s="429"/>
      <c r="D269" s="429"/>
      <c r="E269" s="429"/>
      <c r="F269" s="429"/>
      <c r="G269" s="429"/>
      <c r="H269" s="427"/>
      <c r="I269" s="268"/>
      <c r="J269" s="396"/>
      <c r="K269" s="396"/>
      <c r="L269" s="397"/>
      <c r="M269" s="397"/>
      <c r="N269" s="397"/>
      <c r="O269" s="397"/>
      <c r="P269" s="406"/>
      <c r="Q269" s="406"/>
      <c r="R269" s="406"/>
      <c r="S269" s="406"/>
      <c r="T269" s="160"/>
      <c r="U269" s="195"/>
      <c r="V269" s="195"/>
      <c r="W269" s="195"/>
      <c r="X269" s="181"/>
      <c r="Y269" s="181"/>
      <c r="Z269" s="163"/>
      <c r="AA269" s="365"/>
      <c r="AB269" s="365"/>
      <c r="AC269" s="365"/>
      <c r="AD269" s="165"/>
      <c r="AE269" s="165"/>
      <c r="AF269" s="165"/>
      <c r="AG269" s="165"/>
      <c r="AH269" s="165"/>
      <c r="AI269" s="165"/>
      <c r="AJ269" s="165"/>
      <c r="AK269" s="165"/>
      <c r="AL269" s="165"/>
      <c r="AM269" s="165"/>
      <c r="AN269" s="165"/>
      <c r="AO269" s="165"/>
      <c r="AP269" s="165"/>
      <c r="AQ269" s="165"/>
    </row>
    <row r="270" ht="12.75" customHeight="1">
      <c r="A270" s="426"/>
      <c r="B270" s="180"/>
      <c r="C270" s="180"/>
      <c r="D270" s="180"/>
      <c r="E270" s="180"/>
      <c r="F270" s="180"/>
      <c r="G270" s="180"/>
      <c r="H270" s="427"/>
      <c r="I270" s="268"/>
      <c r="J270" s="396"/>
      <c r="K270" s="396"/>
      <c r="L270" s="397"/>
      <c r="M270" s="397"/>
      <c r="N270" s="397"/>
      <c r="O270" s="397"/>
      <c r="P270" s="406"/>
      <c r="Q270" s="406"/>
      <c r="R270" s="406"/>
      <c r="S270" s="406"/>
      <c r="T270" s="160"/>
      <c r="U270" s="195"/>
      <c r="V270" s="195"/>
      <c r="W270" s="195"/>
      <c r="X270" s="181"/>
      <c r="Y270" s="181"/>
      <c r="Z270" s="163"/>
      <c r="AA270" s="365"/>
      <c r="AB270" s="365"/>
      <c r="AC270" s="365"/>
      <c r="AD270" s="165"/>
      <c r="AE270" s="165"/>
      <c r="AF270" s="165"/>
      <c r="AG270" s="165"/>
      <c r="AH270" s="165"/>
      <c r="AI270" s="165"/>
      <c r="AJ270" s="165"/>
      <c r="AK270" s="165"/>
      <c r="AL270" s="165"/>
      <c r="AM270" s="165"/>
      <c r="AN270" s="165"/>
      <c r="AO270" s="165"/>
      <c r="AP270" s="165"/>
      <c r="AQ270" s="165"/>
    </row>
    <row r="271" ht="12.75" customHeight="1">
      <c r="A271" s="426"/>
      <c r="B271" s="180"/>
      <c r="C271" s="180"/>
      <c r="D271" s="180"/>
      <c r="E271" s="180"/>
      <c r="F271" s="180"/>
      <c r="G271" s="180"/>
      <c r="H271" s="427"/>
      <c r="I271" s="268"/>
      <c r="J271" s="396"/>
      <c r="K271" s="396"/>
      <c r="L271" s="397"/>
      <c r="M271" s="397"/>
      <c r="N271" s="397"/>
      <c r="O271" s="397"/>
      <c r="P271" s="406"/>
      <c r="Q271" s="406"/>
      <c r="R271" s="406"/>
      <c r="S271" s="406"/>
      <c r="T271" s="160"/>
      <c r="U271" s="195"/>
      <c r="V271" s="195"/>
      <c r="W271" s="195"/>
      <c r="X271" s="181"/>
      <c r="Y271" s="181"/>
      <c r="Z271" s="163"/>
      <c r="AA271" s="365"/>
      <c r="AB271" s="365"/>
      <c r="AC271" s="365"/>
      <c r="AD271" s="165"/>
      <c r="AE271" s="165"/>
      <c r="AF271" s="165"/>
      <c r="AG271" s="165"/>
      <c r="AH271" s="165"/>
      <c r="AI271" s="165"/>
      <c r="AJ271" s="165"/>
      <c r="AK271" s="165"/>
      <c r="AL271" s="165"/>
      <c r="AM271" s="165"/>
      <c r="AN271" s="165"/>
      <c r="AO271" s="165"/>
      <c r="AP271" s="165"/>
      <c r="AQ271" s="165"/>
    </row>
    <row r="272" ht="12.75" customHeight="1">
      <c r="A272" s="426"/>
      <c r="B272" s="180"/>
      <c r="C272" s="180"/>
      <c r="D272" s="180"/>
      <c r="E272" s="180"/>
      <c r="F272" s="180"/>
      <c r="G272" s="180"/>
      <c r="H272" s="427"/>
      <c r="I272" s="268"/>
      <c r="J272" s="396"/>
      <c r="K272" s="396"/>
      <c r="L272" s="397"/>
      <c r="M272" s="397"/>
      <c r="N272" s="397"/>
      <c r="O272" s="397"/>
      <c r="P272" s="406"/>
      <c r="Q272" s="406"/>
      <c r="R272" s="406"/>
      <c r="S272" s="406"/>
      <c r="T272" s="160"/>
      <c r="U272" s="195"/>
      <c r="V272" s="195"/>
      <c r="W272" s="195"/>
      <c r="X272" s="181"/>
      <c r="Y272" s="181"/>
      <c r="Z272" s="163"/>
      <c r="AA272" s="365"/>
      <c r="AB272" s="365"/>
      <c r="AC272" s="365"/>
      <c r="AD272" s="165"/>
      <c r="AE272" s="165"/>
      <c r="AF272" s="165"/>
      <c r="AG272" s="165"/>
      <c r="AH272" s="165"/>
      <c r="AI272" s="165"/>
      <c r="AJ272" s="165"/>
      <c r="AK272" s="165"/>
      <c r="AL272" s="165"/>
      <c r="AM272" s="165"/>
      <c r="AN272" s="165"/>
      <c r="AO272" s="165"/>
      <c r="AP272" s="165"/>
      <c r="AQ272" s="165"/>
    </row>
    <row r="273" ht="12.75" customHeight="1">
      <c r="A273" s="426"/>
      <c r="B273" s="180"/>
      <c r="C273" s="180"/>
      <c r="D273" s="180"/>
      <c r="E273" s="180"/>
      <c r="F273" s="180"/>
      <c r="G273" s="180"/>
      <c r="H273" s="427"/>
      <c r="I273" s="268"/>
      <c r="J273" s="396"/>
      <c r="K273" s="396"/>
      <c r="L273" s="397"/>
      <c r="M273" s="397"/>
      <c r="N273" s="397"/>
      <c r="O273" s="397"/>
      <c r="P273" s="406"/>
      <c r="Q273" s="406"/>
      <c r="R273" s="406"/>
      <c r="S273" s="406"/>
      <c r="T273" s="160"/>
      <c r="U273" s="195"/>
      <c r="V273" s="195"/>
      <c r="W273" s="195"/>
      <c r="X273" s="181"/>
      <c r="Y273" s="181"/>
      <c r="Z273" s="163"/>
      <c r="AA273" s="365"/>
      <c r="AB273" s="365"/>
      <c r="AC273" s="365"/>
      <c r="AD273" s="165"/>
      <c r="AE273" s="165"/>
      <c r="AF273" s="165"/>
      <c r="AG273" s="165"/>
      <c r="AH273" s="165"/>
      <c r="AI273" s="165"/>
      <c r="AJ273" s="165"/>
      <c r="AK273" s="165"/>
      <c r="AL273" s="165"/>
      <c r="AM273" s="165"/>
      <c r="AN273" s="165"/>
      <c r="AO273" s="165"/>
      <c r="AP273" s="165"/>
      <c r="AQ273" s="165"/>
    </row>
    <row r="274" ht="12.75" customHeight="1">
      <c r="A274" s="426"/>
      <c r="B274" s="180"/>
      <c r="C274" s="180"/>
      <c r="D274" s="180"/>
      <c r="E274" s="180"/>
      <c r="F274" s="180"/>
      <c r="G274" s="180"/>
      <c r="H274" s="427"/>
      <c r="I274" s="268"/>
      <c r="J274" s="396"/>
      <c r="K274" s="396"/>
      <c r="L274" s="397"/>
      <c r="M274" s="397"/>
      <c r="N274" s="397"/>
      <c r="O274" s="397"/>
      <c r="P274" s="406"/>
      <c r="Q274" s="406"/>
      <c r="R274" s="406"/>
      <c r="S274" s="406"/>
      <c r="T274" s="160"/>
      <c r="U274" s="195"/>
      <c r="V274" s="195"/>
      <c r="W274" s="195"/>
      <c r="X274" s="181"/>
      <c r="Y274" s="181"/>
      <c r="Z274" s="163"/>
      <c r="AA274" s="365"/>
      <c r="AB274" s="365"/>
      <c r="AC274" s="365"/>
      <c r="AD274" s="165"/>
      <c r="AE274" s="165"/>
      <c r="AF274" s="165"/>
      <c r="AG274" s="165"/>
      <c r="AH274" s="165"/>
      <c r="AI274" s="165"/>
      <c r="AJ274" s="165"/>
      <c r="AK274" s="165"/>
      <c r="AL274" s="165"/>
      <c r="AM274" s="165"/>
      <c r="AN274" s="165"/>
      <c r="AO274" s="165"/>
      <c r="AP274" s="165"/>
      <c r="AQ274" s="165"/>
    </row>
    <row r="275" ht="12.75" customHeight="1">
      <c r="A275" s="426"/>
      <c r="B275" s="180"/>
      <c r="C275" s="180"/>
      <c r="D275" s="180"/>
      <c r="E275" s="180"/>
      <c r="F275" s="180"/>
      <c r="G275" s="180"/>
      <c r="H275" s="427"/>
      <c r="I275" s="268"/>
      <c r="J275" s="396"/>
      <c r="K275" s="396"/>
      <c r="L275" s="397"/>
      <c r="M275" s="397"/>
      <c r="N275" s="397"/>
      <c r="O275" s="397"/>
      <c r="P275" s="406"/>
      <c r="Q275" s="406"/>
      <c r="R275" s="406"/>
      <c r="S275" s="406"/>
      <c r="T275" s="160"/>
      <c r="U275" s="195"/>
      <c r="V275" s="195"/>
      <c r="W275" s="195"/>
      <c r="X275" s="181"/>
      <c r="Y275" s="181"/>
      <c r="Z275" s="163"/>
      <c r="AA275" s="365"/>
      <c r="AB275" s="365"/>
      <c r="AC275" s="365"/>
      <c r="AD275" s="165"/>
      <c r="AE275" s="165"/>
      <c r="AF275" s="165"/>
      <c r="AG275" s="165"/>
      <c r="AH275" s="165"/>
      <c r="AI275" s="165"/>
      <c r="AJ275" s="165"/>
      <c r="AK275" s="165"/>
      <c r="AL275" s="165"/>
      <c r="AM275" s="165"/>
      <c r="AN275" s="165"/>
      <c r="AO275" s="165"/>
      <c r="AP275" s="165"/>
      <c r="AQ275" s="165"/>
    </row>
    <row r="276" ht="12.75" customHeight="1">
      <c r="A276" s="426"/>
      <c r="B276" s="180"/>
      <c r="C276" s="180"/>
      <c r="D276" s="180"/>
      <c r="E276" s="180"/>
      <c r="F276" s="180"/>
      <c r="G276" s="180"/>
      <c r="H276" s="427"/>
      <c r="I276" s="268"/>
      <c r="J276" s="396"/>
      <c r="K276" s="396"/>
      <c r="L276" s="397"/>
      <c r="M276" s="397"/>
      <c r="N276" s="397"/>
      <c r="O276" s="397"/>
      <c r="P276" s="406"/>
      <c r="Q276" s="406"/>
      <c r="R276" s="406"/>
      <c r="S276" s="406"/>
      <c r="T276" s="160"/>
      <c r="U276" s="195"/>
      <c r="V276" s="195"/>
      <c r="W276" s="195"/>
      <c r="X276" s="181"/>
      <c r="Y276" s="181"/>
      <c r="Z276" s="163"/>
      <c r="AA276" s="365"/>
      <c r="AB276" s="365"/>
      <c r="AC276" s="365"/>
      <c r="AD276" s="165"/>
      <c r="AE276" s="165"/>
      <c r="AF276" s="165"/>
      <c r="AG276" s="165"/>
      <c r="AH276" s="165"/>
      <c r="AI276" s="165"/>
      <c r="AJ276" s="165"/>
      <c r="AK276" s="165"/>
      <c r="AL276" s="165"/>
      <c r="AM276" s="165"/>
      <c r="AN276" s="165"/>
      <c r="AO276" s="165"/>
      <c r="AP276" s="165"/>
      <c r="AQ276" s="165"/>
    </row>
    <row r="277" ht="12.75" customHeight="1">
      <c r="A277" s="426"/>
      <c r="B277" s="180"/>
      <c r="C277" s="180"/>
      <c r="D277" s="180"/>
      <c r="E277" s="180"/>
      <c r="F277" s="180"/>
      <c r="G277" s="180"/>
      <c r="H277" s="427"/>
      <c r="I277" s="268"/>
      <c r="J277" s="396"/>
      <c r="K277" s="396"/>
      <c r="L277" s="397"/>
      <c r="M277" s="397"/>
      <c r="N277" s="397"/>
      <c r="O277" s="397"/>
      <c r="P277" s="406"/>
      <c r="Q277" s="406"/>
      <c r="R277" s="406"/>
      <c r="S277" s="406"/>
      <c r="T277" s="160"/>
      <c r="U277" s="195"/>
      <c r="V277" s="195"/>
      <c r="W277" s="195"/>
      <c r="X277" s="181"/>
      <c r="Y277" s="181"/>
      <c r="Z277" s="163"/>
      <c r="AA277" s="365"/>
      <c r="AB277" s="365"/>
      <c r="AC277" s="365"/>
      <c r="AD277" s="165"/>
      <c r="AE277" s="165"/>
      <c r="AF277" s="165"/>
      <c r="AG277" s="165"/>
      <c r="AH277" s="165"/>
      <c r="AI277" s="165"/>
      <c r="AJ277" s="165"/>
      <c r="AK277" s="165"/>
      <c r="AL277" s="165"/>
      <c r="AM277" s="165"/>
      <c r="AN277" s="165"/>
      <c r="AO277" s="165"/>
      <c r="AP277" s="165"/>
      <c r="AQ277" s="165"/>
    </row>
    <row r="278" ht="12.75" customHeight="1">
      <c r="A278" s="426"/>
      <c r="B278" s="180"/>
      <c r="C278" s="180"/>
      <c r="D278" s="180"/>
      <c r="E278" s="180"/>
      <c r="F278" s="180"/>
      <c r="G278" s="180"/>
      <c r="H278" s="427"/>
      <c r="I278" s="268"/>
      <c r="J278" s="396"/>
      <c r="K278" s="396"/>
      <c r="L278" s="397"/>
      <c r="M278" s="397"/>
      <c r="N278" s="397"/>
      <c r="O278" s="397"/>
      <c r="P278" s="406"/>
      <c r="Q278" s="406"/>
      <c r="R278" s="406"/>
      <c r="S278" s="406"/>
      <c r="T278" s="160"/>
      <c r="U278" s="195"/>
      <c r="V278" s="195"/>
      <c r="W278" s="195"/>
      <c r="X278" s="181"/>
      <c r="Y278" s="181"/>
      <c r="Z278" s="163"/>
      <c r="AA278" s="365"/>
      <c r="AB278" s="365"/>
      <c r="AC278" s="365"/>
      <c r="AD278" s="165"/>
      <c r="AE278" s="165"/>
      <c r="AF278" s="165"/>
      <c r="AG278" s="165"/>
      <c r="AH278" s="165"/>
      <c r="AI278" s="165"/>
      <c r="AJ278" s="165"/>
      <c r="AK278" s="165"/>
      <c r="AL278" s="165"/>
      <c r="AM278" s="165"/>
      <c r="AN278" s="165"/>
      <c r="AO278" s="165"/>
      <c r="AP278" s="165"/>
      <c r="AQ278" s="165"/>
    </row>
    <row r="279" ht="12.75" customHeight="1">
      <c r="A279" s="426"/>
      <c r="B279" s="180"/>
      <c r="C279" s="180"/>
      <c r="D279" s="180"/>
      <c r="E279" s="180"/>
      <c r="F279" s="180"/>
      <c r="G279" s="180"/>
      <c r="H279" s="427"/>
      <c r="I279" s="268"/>
      <c r="J279" s="396"/>
      <c r="K279" s="396"/>
      <c r="L279" s="397"/>
      <c r="M279" s="397"/>
      <c r="N279" s="397"/>
      <c r="O279" s="397"/>
      <c r="P279" s="406"/>
      <c r="Q279" s="406"/>
      <c r="R279" s="406"/>
      <c r="S279" s="406"/>
      <c r="T279" s="160"/>
      <c r="U279" s="195"/>
      <c r="V279" s="195"/>
      <c r="W279" s="195"/>
      <c r="X279" s="181"/>
      <c r="Y279" s="181"/>
      <c r="Z279" s="163"/>
      <c r="AA279" s="365"/>
      <c r="AB279" s="365"/>
      <c r="AC279" s="365"/>
      <c r="AD279" s="165"/>
      <c r="AE279" s="165"/>
      <c r="AF279" s="165"/>
      <c r="AG279" s="165"/>
      <c r="AH279" s="165"/>
      <c r="AI279" s="165"/>
      <c r="AJ279" s="165"/>
      <c r="AK279" s="165"/>
      <c r="AL279" s="165"/>
      <c r="AM279" s="165"/>
      <c r="AN279" s="165"/>
      <c r="AO279" s="165"/>
      <c r="AP279" s="165"/>
      <c r="AQ279" s="165"/>
    </row>
    <row r="280" ht="12.75" customHeight="1">
      <c r="A280" s="426"/>
      <c r="B280" s="180"/>
      <c r="C280" s="180"/>
      <c r="D280" s="180"/>
      <c r="E280" s="180"/>
      <c r="F280" s="180"/>
      <c r="G280" s="180"/>
      <c r="H280" s="427"/>
      <c r="I280" s="268"/>
      <c r="J280" s="396"/>
      <c r="K280" s="396"/>
      <c r="L280" s="397"/>
      <c r="M280" s="397"/>
      <c r="N280" s="397"/>
      <c r="O280" s="397"/>
      <c r="P280" s="406"/>
      <c r="Q280" s="406"/>
      <c r="R280" s="406"/>
      <c r="S280" s="406"/>
      <c r="T280" s="160"/>
      <c r="U280" s="195"/>
      <c r="V280" s="195"/>
      <c r="W280" s="195"/>
      <c r="X280" s="181"/>
      <c r="Y280" s="181"/>
      <c r="Z280" s="163"/>
      <c r="AA280" s="365"/>
      <c r="AB280" s="365"/>
      <c r="AC280" s="365"/>
      <c r="AD280" s="165"/>
      <c r="AE280" s="165"/>
      <c r="AF280" s="165"/>
      <c r="AG280" s="165"/>
      <c r="AH280" s="165"/>
      <c r="AI280" s="165"/>
      <c r="AJ280" s="165"/>
      <c r="AK280" s="165"/>
      <c r="AL280" s="165"/>
      <c r="AM280" s="165"/>
      <c r="AN280" s="165"/>
      <c r="AO280" s="165"/>
      <c r="AP280" s="165"/>
      <c r="AQ280" s="165"/>
    </row>
    <row r="281" ht="12.75" customHeight="1">
      <c r="A281" s="426"/>
      <c r="B281" s="180"/>
      <c r="C281" s="180"/>
      <c r="D281" s="180"/>
      <c r="E281" s="180"/>
      <c r="F281" s="180"/>
      <c r="G281" s="180"/>
      <c r="H281" s="427"/>
      <c r="I281" s="268"/>
      <c r="J281" s="396"/>
      <c r="K281" s="396"/>
      <c r="L281" s="397"/>
      <c r="M281" s="397"/>
      <c r="N281" s="397"/>
      <c r="O281" s="397"/>
      <c r="P281" s="406"/>
      <c r="Q281" s="406"/>
      <c r="R281" s="406"/>
      <c r="S281" s="406"/>
      <c r="T281" s="160"/>
      <c r="U281" s="195"/>
      <c r="V281" s="195"/>
      <c r="W281" s="195"/>
      <c r="X281" s="181"/>
      <c r="Y281" s="181"/>
      <c r="Z281" s="163"/>
      <c r="AA281" s="365"/>
      <c r="AB281" s="365"/>
      <c r="AC281" s="365"/>
      <c r="AD281" s="165"/>
      <c r="AE281" s="165"/>
      <c r="AF281" s="165"/>
      <c r="AG281" s="165"/>
      <c r="AH281" s="165"/>
      <c r="AI281" s="165"/>
      <c r="AJ281" s="165"/>
      <c r="AK281" s="165"/>
      <c r="AL281" s="165"/>
      <c r="AM281" s="165"/>
      <c r="AN281" s="165"/>
      <c r="AO281" s="165"/>
      <c r="AP281" s="165"/>
      <c r="AQ281" s="165"/>
    </row>
    <row r="282" ht="12.75" customHeight="1">
      <c r="A282" s="426"/>
      <c r="B282" s="180"/>
      <c r="C282" s="180"/>
      <c r="D282" s="180"/>
      <c r="E282" s="180"/>
      <c r="F282" s="180"/>
      <c r="G282" s="180"/>
      <c r="H282" s="427"/>
      <c r="I282" s="268"/>
      <c r="J282" s="396"/>
      <c r="K282" s="396"/>
      <c r="L282" s="397"/>
      <c r="M282" s="397"/>
      <c r="N282" s="397"/>
      <c r="O282" s="397"/>
      <c r="P282" s="406"/>
      <c r="Q282" s="406"/>
      <c r="R282" s="406"/>
      <c r="S282" s="406"/>
      <c r="T282" s="160"/>
      <c r="U282" s="195"/>
      <c r="V282" s="195"/>
      <c r="W282" s="195"/>
      <c r="X282" s="181"/>
      <c r="Y282" s="181"/>
      <c r="Z282" s="163"/>
      <c r="AA282" s="365"/>
      <c r="AB282" s="365"/>
      <c r="AC282" s="365"/>
      <c r="AD282" s="165"/>
      <c r="AE282" s="165"/>
      <c r="AF282" s="165"/>
      <c r="AG282" s="165"/>
      <c r="AH282" s="165"/>
      <c r="AI282" s="165"/>
      <c r="AJ282" s="165"/>
      <c r="AK282" s="165"/>
      <c r="AL282" s="165"/>
      <c r="AM282" s="165"/>
      <c r="AN282" s="165"/>
      <c r="AO282" s="165"/>
      <c r="AP282" s="165"/>
      <c r="AQ282" s="165"/>
    </row>
    <row r="283" ht="12.75" customHeight="1">
      <c r="A283" s="426"/>
      <c r="B283" s="180"/>
      <c r="C283" s="180"/>
      <c r="D283" s="180"/>
      <c r="E283" s="180"/>
      <c r="F283" s="180"/>
      <c r="G283" s="180"/>
      <c r="H283" s="427"/>
      <c r="I283" s="268"/>
      <c r="J283" s="396"/>
      <c r="K283" s="396"/>
      <c r="L283" s="397"/>
      <c r="M283" s="397"/>
      <c r="N283" s="397"/>
      <c r="O283" s="397"/>
      <c r="P283" s="406"/>
      <c r="Q283" s="406"/>
      <c r="R283" s="406"/>
      <c r="S283" s="406"/>
      <c r="T283" s="160"/>
      <c r="U283" s="195"/>
      <c r="V283" s="195"/>
      <c r="W283" s="195"/>
      <c r="X283" s="181"/>
      <c r="Y283" s="181"/>
      <c r="Z283" s="163"/>
      <c r="AA283" s="365"/>
      <c r="AB283" s="365"/>
      <c r="AC283" s="365"/>
      <c r="AD283" s="165"/>
      <c r="AE283" s="165"/>
      <c r="AF283" s="165"/>
      <c r="AG283" s="165"/>
      <c r="AH283" s="165"/>
      <c r="AI283" s="165"/>
      <c r="AJ283" s="165"/>
      <c r="AK283" s="165"/>
      <c r="AL283" s="165"/>
      <c r="AM283" s="165"/>
      <c r="AN283" s="165"/>
      <c r="AO283" s="165"/>
      <c r="AP283" s="165"/>
      <c r="AQ283" s="165"/>
    </row>
    <row r="284" ht="12.75" customHeight="1">
      <c r="A284" s="426"/>
      <c r="B284" s="180"/>
      <c r="C284" s="180"/>
      <c r="D284" s="180"/>
      <c r="E284" s="180"/>
      <c r="F284" s="180"/>
      <c r="G284" s="180"/>
      <c r="H284" s="427"/>
      <c r="I284" s="268"/>
      <c r="J284" s="396"/>
      <c r="K284" s="396"/>
      <c r="L284" s="397"/>
      <c r="M284" s="397"/>
      <c r="N284" s="397"/>
      <c r="O284" s="397"/>
      <c r="P284" s="406"/>
      <c r="Q284" s="406"/>
      <c r="R284" s="406"/>
      <c r="S284" s="406"/>
      <c r="T284" s="160"/>
      <c r="U284" s="195"/>
      <c r="V284" s="195"/>
      <c r="W284" s="195"/>
      <c r="X284" s="181"/>
      <c r="Y284" s="181"/>
      <c r="Z284" s="163"/>
      <c r="AA284" s="365"/>
      <c r="AB284" s="365"/>
      <c r="AC284" s="365"/>
      <c r="AD284" s="165"/>
      <c r="AE284" s="165"/>
      <c r="AF284" s="165"/>
      <c r="AG284" s="165"/>
      <c r="AH284" s="165"/>
      <c r="AI284" s="165"/>
      <c r="AJ284" s="165"/>
      <c r="AK284" s="165"/>
      <c r="AL284" s="165"/>
      <c r="AM284" s="165"/>
      <c r="AN284" s="165"/>
      <c r="AO284" s="165"/>
      <c r="AP284" s="165"/>
      <c r="AQ284" s="165"/>
    </row>
    <row r="285" ht="12.75" customHeight="1">
      <c r="A285" s="426"/>
      <c r="B285" s="180"/>
      <c r="C285" s="180"/>
      <c r="D285" s="180"/>
      <c r="E285" s="180"/>
      <c r="F285" s="180"/>
      <c r="G285" s="180"/>
      <c r="H285" s="427"/>
      <c r="I285" s="268"/>
      <c r="J285" s="396"/>
      <c r="K285" s="396"/>
      <c r="L285" s="397"/>
      <c r="M285" s="397"/>
      <c r="N285" s="397"/>
      <c r="O285" s="397"/>
      <c r="P285" s="406"/>
      <c r="Q285" s="406"/>
      <c r="R285" s="406"/>
      <c r="S285" s="406"/>
      <c r="T285" s="160"/>
      <c r="U285" s="195"/>
      <c r="V285" s="195"/>
      <c r="W285" s="195"/>
      <c r="X285" s="181"/>
      <c r="Y285" s="181"/>
      <c r="Z285" s="163"/>
      <c r="AA285" s="365"/>
      <c r="AB285" s="365"/>
      <c r="AC285" s="365"/>
      <c r="AD285" s="165"/>
      <c r="AE285" s="165"/>
      <c r="AF285" s="165"/>
      <c r="AG285" s="165"/>
      <c r="AH285" s="165"/>
      <c r="AI285" s="165"/>
      <c r="AJ285" s="165"/>
      <c r="AK285" s="165"/>
      <c r="AL285" s="165"/>
      <c r="AM285" s="165"/>
      <c r="AN285" s="165"/>
      <c r="AO285" s="165"/>
      <c r="AP285" s="165"/>
      <c r="AQ285" s="165"/>
    </row>
    <row r="286" ht="12.75" customHeight="1">
      <c r="A286" s="426"/>
      <c r="B286" s="180"/>
      <c r="C286" s="180"/>
      <c r="D286" s="180"/>
      <c r="E286" s="180"/>
      <c r="F286" s="180"/>
      <c r="G286" s="180"/>
      <c r="H286" s="427"/>
      <c r="I286" s="268"/>
      <c r="J286" s="396"/>
      <c r="K286" s="396"/>
      <c r="L286" s="397"/>
      <c r="M286" s="397"/>
      <c r="N286" s="397"/>
      <c r="O286" s="397"/>
      <c r="P286" s="406"/>
      <c r="Q286" s="406"/>
      <c r="R286" s="406"/>
      <c r="S286" s="406"/>
      <c r="T286" s="160"/>
      <c r="U286" s="195"/>
      <c r="V286" s="195"/>
      <c r="W286" s="195"/>
      <c r="X286" s="181"/>
      <c r="Y286" s="181"/>
      <c r="Z286" s="163"/>
      <c r="AA286" s="365"/>
      <c r="AB286" s="365"/>
      <c r="AC286" s="365"/>
      <c r="AD286" s="165"/>
      <c r="AE286" s="165"/>
      <c r="AF286" s="165"/>
      <c r="AG286" s="165"/>
      <c r="AH286" s="165"/>
      <c r="AI286" s="165"/>
      <c r="AJ286" s="165"/>
      <c r="AK286" s="165"/>
      <c r="AL286" s="165"/>
      <c r="AM286" s="165"/>
      <c r="AN286" s="165"/>
      <c r="AO286" s="165"/>
      <c r="AP286" s="165"/>
      <c r="AQ286" s="165"/>
    </row>
    <row r="287" ht="12.75" customHeight="1">
      <c r="A287" s="426"/>
      <c r="B287" s="180"/>
      <c r="C287" s="180"/>
      <c r="D287" s="180"/>
      <c r="E287" s="180"/>
      <c r="F287" s="180"/>
      <c r="G287" s="180"/>
      <c r="H287" s="427"/>
      <c r="I287" s="268"/>
      <c r="J287" s="396"/>
      <c r="K287" s="396"/>
      <c r="L287" s="397"/>
      <c r="M287" s="397"/>
      <c r="N287" s="397"/>
      <c r="O287" s="397"/>
      <c r="P287" s="406"/>
      <c r="Q287" s="406"/>
      <c r="R287" s="406"/>
      <c r="S287" s="406"/>
      <c r="T287" s="160"/>
      <c r="U287" s="195"/>
      <c r="V287" s="195"/>
      <c r="W287" s="195"/>
      <c r="X287" s="181"/>
      <c r="Y287" s="181"/>
      <c r="Z287" s="163"/>
      <c r="AA287" s="365"/>
      <c r="AB287" s="365"/>
      <c r="AC287" s="365"/>
      <c r="AD287" s="165"/>
      <c r="AE287" s="165"/>
      <c r="AF287" s="165"/>
      <c r="AG287" s="165"/>
      <c r="AH287" s="165"/>
      <c r="AI287" s="165"/>
      <c r="AJ287" s="165"/>
      <c r="AK287" s="165"/>
      <c r="AL287" s="165"/>
      <c r="AM287" s="165"/>
      <c r="AN287" s="165"/>
      <c r="AO287" s="165"/>
      <c r="AP287" s="165"/>
      <c r="AQ287" s="165"/>
    </row>
    <row r="288" ht="12.75" customHeight="1">
      <c r="A288" s="426"/>
      <c r="B288" s="180"/>
      <c r="C288" s="180"/>
      <c r="D288" s="180"/>
      <c r="E288" s="180"/>
      <c r="F288" s="180"/>
      <c r="G288" s="180"/>
      <c r="H288" s="427"/>
      <c r="I288" s="268"/>
      <c r="J288" s="396"/>
      <c r="K288" s="396"/>
      <c r="L288" s="397"/>
      <c r="M288" s="397"/>
      <c r="N288" s="397"/>
      <c r="O288" s="397"/>
      <c r="P288" s="406"/>
      <c r="Q288" s="406"/>
      <c r="R288" s="406"/>
      <c r="S288" s="406"/>
      <c r="T288" s="160"/>
      <c r="U288" s="195"/>
      <c r="V288" s="195"/>
      <c r="W288" s="195"/>
      <c r="X288" s="181"/>
      <c r="Y288" s="181"/>
      <c r="Z288" s="163"/>
      <c r="AA288" s="365"/>
      <c r="AB288" s="365"/>
      <c r="AC288" s="365"/>
      <c r="AD288" s="165"/>
      <c r="AE288" s="165"/>
      <c r="AF288" s="165"/>
      <c r="AG288" s="165"/>
      <c r="AH288" s="165"/>
      <c r="AI288" s="165"/>
      <c r="AJ288" s="165"/>
      <c r="AK288" s="165"/>
      <c r="AL288" s="165"/>
      <c r="AM288" s="165"/>
      <c r="AN288" s="165"/>
      <c r="AO288" s="165"/>
      <c r="AP288" s="165"/>
      <c r="AQ288" s="165"/>
    </row>
    <row r="289" ht="12.75" customHeight="1">
      <c r="A289" s="426"/>
      <c r="B289" s="180"/>
      <c r="C289" s="180"/>
      <c r="D289" s="180"/>
      <c r="E289" s="180"/>
      <c r="F289" s="180"/>
      <c r="G289" s="180"/>
      <c r="H289" s="427"/>
      <c r="I289" s="268"/>
      <c r="J289" s="396"/>
      <c r="K289" s="396"/>
      <c r="L289" s="397"/>
      <c r="M289" s="397"/>
      <c r="N289" s="397"/>
      <c r="O289" s="397"/>
      <c r="P289" s="406"/>
      <c r="Q289" s="406"/>
      <c r="R289" s="406"/>
      <c r="S289" s="406"/>
      <c r="T289" s="160"/>
      <c r="U289" s="195"/>
      <c r="V289" s="195"/>
      <c r="W289" s="195"/>
      <c r="X289" s="195"/>
      <c r="Y289" s="181"/>
      <c r="Z289" s="163"/>
      <c r="AA289" s="365"/>
      <c r="AB289" s="365"/>
      <c r="AC289" s="365"/>
      <c r="AD289" s="165"/>
      <c r="AE289" s="165"/>
      <c r="AF289" s="165"/>
      <c r="AG289" s="165"/>
      <c r="AH289" s="165"/>
      <c r="AI289" s="165"/>
      <c r="AJ289" s="165"/>
      <c r="AK289" s="165"/>
      <c r="AL289" s="165"/>
      <c r="AM289" s="165"/>
      <c r="AN289" s="165"/>
      <c r="AO289" s="165"/>
      <c r="AP289" s="165"/>
      <c r="AQ289" s="165"/>
    </row>
    <row r="290" ht="12.75" customHeight="1">
      <c r="A290" s="426"/>
      <c r="B290" s="180"/>
      <c r="C290" s="180"/>
      <c r="D290" s="180"/>
      <c r="E290" s="180"/>
      <c r="F290" s="180"/>
      <c r="G290" s="180"/>
      <c r="H290" s="427"/>
      <c r="I290" s="268"/>
      <c r="J290" s="396"/>
      <c r="K290" s="396"/>
      <c r="L290" s="397"/>
      <c r="M290" s="397"/>
      <c r="N290" s="397"/>
      <c r="O290" s="397"/>
      <c r="P290" s="406"/>
      <c r="Q290" s="406"/>
      <c r="R290" s="406"/>
      <c r="S290" s="406"/>
      <c r="T290" s="160"/>
      <c r="U290" s="195"/>
      <c r="V290" s="195"/>
      <c r="W290" s="195"/>
      <c r="X290" s="195"/>
      <c r="Y290" s="181"/>
      <c r="Z290" s="163"/>
      <c r="AA290" s="365"/>
      <c r="AB290" s="365"/>
      <c r="AC290" s="365"/>
      <c r="AD290" s="165"/>
      <c r="AE290" s="165"/>
      <c r="AF290" s="165"/>
      <c r="AG290" s="165"/>
      <c r="AH290" s="165"/>
      <c r="AI290" s="165"/>
      <c r="AJ290" s="165"/>
      <c r="AK290" s="165"/>
      <c r="AL290" s="165"/>
      <c r="AM290" s="165"/>
      <c r="AN290" s="165"/>
      <c r="AO290" s="165"/>
      <c r="AP290" s="165"/>
      <c r="AQ290" s="165"/>
    </row>
    <row r="291" ht="12.75" customHeight="1">
      <c r="A291" s="426"/>
      <c r="B291" s="180"/>
      <c r="C291" s="180"/>
      <c r="D291" s="180"/>
      <c r="E291" s="180"/>
      <c r="F291" s="180"/>
      <c r="G291" s="180"/>
      <c r="H291" s="427"/>
      <c r="I291" s="268"/>
      <c r="J291" s="396"/>
      <c r="K291" s="396"/>
      <c r="L291" s="397"/>
      <c r="M291" s="397"/>
      <c r="N291" s="397"/>
      <c r="O291" s="397"/>
      <c r="P291" s="406"/>
      <c r="Q291" s="406"/>
      <c r="R291" s="406"/>
      <c r="S291" s="406"/>
      <c r="T291" s="160"/>
      <c r="U291" s="195"/>
      <c r="V291" s="195"/>
      <c r="W291" s="195"/>
      <c r="X291" s="195"/>
      <c r="Y291" s="181"/>
      <c r="Z291" s="163"/>
      <c r="AA291" s="365"/>
      <c r="AB291" s="365"/>
      <c r="AC291" s="365"/>
      <c r="AD291" s="165"/>
      <c r="AE291" s="165"/>
      <c r="AF291" s="165"/>
      <c r="AG291" s="165"/>
      <c r="AH291" s="165"/>
      <c r="AI291" s="165"/>
      <c r="AJ291" s="165"/>
      <c r="AK291" s="165"/>
      <c r="AL291" s="165"/>
      <c r="AM291" s="165"/>
      <c r="AN291" s="165"/>
      <c r="AO291" s="165"/>
      <c r="AP291" s="165"/>
      <c r="AQ291" s="165"/>
    </row>
    <row r="292" ht="12.75" customHeight="1">
      <c r="A292" s="426"/>
      <c r="B292" s="180"/>
      <c r="C292" s="180"/>
      <c r="D292" s="180"/>
      <c r="E292" s="180"/>
      <c r="F292" s="180"/>
      <c r="G292" s="180"/>
      <c r="H292" s="427"/>
      <c r="I292" s="268"/>
      <c r="J292" s="396"/>
      <c r="K292" s="396"/>
      <c r="L292" s="397"/>
      <c r="M292" s="397"/>
      <c r="N292" s="397"/>
      <c r="O292" s="397"/>
      <c r="P292" s="406"/>
      <c r="Q292" s="406"/>
      <c r="R292" s="406"/>
      <c r="S292" s="406"/>
      <c r="T292" s="160"/>
      <c r="U292" s="195"/>
      <c r="V292" s="195"/>
      <c r="W292" s="195"/>
      <c r="X292" s="195"/>
      <c r="Y292" s="181"/>
      <c r="Z292" s="163"/>
      <c r="AA292" s="365"/>
      <c r="AB292" s="365"/>
      <c r="AC292" s="365"/>
      <c r="AD292" s="165"/>
      <c r="AE292" s="165"/>
      <c r="AF292" s="165"/>
      <c r="AG292" s="165"/>
      <c r="AH292" s="165"/>
      <c r="AI292" s="165"/>
      <c r="AJ292" s="165"/>
      <c r="AK292" s="165"/>
      <c r="AL292" s="165"/>
      <c r="AM292" s="165"/>
      <c r="AN292" s="165"/>
      <c r="AO292" s="165"/>
      <c r="AP292" s="165"/>
      <c r="AQ292" s="165"/>
    </row>
    <row r="293" ht="12.75" customHeight="1">
      <c r="A293" s="426"/>
      <c r="B293" s="180"/>
      <c r="C293" s="180"/>
      <c r="D293" s="180"/>
      <c r="E293" s="180"/>
      <c r="F293" s="180"/>
      <c r="G293" s="180"/>
      <c r="H293" s="427"/>
      <c r="I293" s="268"/>
      <c r="J293" s="396"/>
      <c r="K293" s="396"/>
      <c r="L293" s="397"/>
      <c r="M293" s="397"/>
      <c r="N293" s="397"/>
      <c r="O293" s="397"/>
      <c r="P293" s="406"/>
      <c r="Q293" s="406"/>
      <c r="R293" s="406"/>
      <c r="S293" s="406"/>
      <c r="T293" s="160"/>
      <c r="U293" s="195"/>
      <c r="V293" s="195"/>
      <c r="W293" s="195"/>
      <c r="X293" s="195"/>
      <c r="Y293" s="181"/>
      <c r="Z293" s="163"/>
      <c r="AA293" s="365"/>
      <c r="AB293" s="365"/>
      <c r="AC293" s="365"/>
      <c r="AD293" s="165"/>
      <c r="AE293" s="165"/>
      <c r="AF293" s="165"/>
      <c r="AG293" s="165"/>
      <c r="AH293" s="165"/>
      <c r="AI293" s="165"/>
      <c r="AJ293" s="165"/>
      <c r="AK293" s="165"/>
      <c r="AL293" s="165"/>
      <c r="AM293" s="165"/>
      <c r="AN293" s="165"/>
      <c r="AO293" s="165"/>
      <c r="AP293" s="165"/>
      <c r="AQ293" s="165"/>
    </row>
    <row r="294" ht="12.75" customHeight="1">
      <c r="A294" s="426"/>
      <c r="B294" s="180"/>
      <c r="C294" s="180"/>
      <c r="D294" s="180"/>
      <c r="E294" s="180"/>
      <c r="F294" s="180"/>
      <c r="G294" s="180"/>
      <c r="H294" s="427"/>
      <c r="I294" s="268"/>
      <c r="J294" s="396"/>
      <c r="K294" s="396"/>
      <c r="L294" s="397"/>
      <c r="M294" s="397"/>
      <c r="N294" s="397"/>
      <c r="O294" s="397"/>
      <c r="P294" s="406"/>
      <c r="Q294" s="406"/>
      <c r="R294" s="406"/>
      <c r="S294" s="406"/>
      <c r="T294" s="160"/>
      <c r="U294" s="195"/>
      <c r="V294" s="195"/>
      <c r="W294" s="195"/>
      <c r="X294" s="195"/>
      <c r="Y294" s="181"/>
      <c r="Z294" s="163"/>
      <c r="AA294" s="365"/>
      <c r="AB294" s="365"/>
      <c r="AC294" s="365"/>
      <c r="AD294" s="165"/>
      <c r="AE294" s="165"/>
      <c r="AF294" s="165"/>
      <c r="AG294" s="165"/>
      <c r="AH294" s="165"/>
      <c r="AI294" s="165"/>
      <c r="AJ294" s="165"/>
      <c r="AK294" s="165"/>
      <c r="AL294" s="165"/>
      <c r="AM294" s="165"/>
      <c r="AN294" s="165"/>
      <c r="AO294" s="165"/>
      <c r="AP294" s="165"/>
      <c r="AQ294" s="165"/>
    </row>
    <row r="295" ht="12.75" customHeight="1">
      <c r="A295" s="426"/>
      <c r="B295" s="180"/>
      <c r="C295" s="180"/>
      <c r="D295" s="180"/>
      <c r="E295" s="180"/>
      <c r="F295" s="180"/>
      <c r="G295" s="180"/>
      <c r="H295" s="427"/>
      <c r="I295" s="268"/>
      <c r="J295" s="396"/>
      <c r="K295" s="396"/>
      <c r="L295" s="397"/>
      <c r="M295" s="397"/>
      <c r="N295" s="397"/>
      <c r="O295" s="397"/>
      <c r="P295" s="406"/>
      <c r="Q295" s="406"/>
      <c r="R295" s="406"/>
      <c r="S295" s="406"/>
      <c r="T295" s="160"/>
      <c r="U295" s="195"/>
      <c r="V295" s="195"/>
      <c r="W295" s="195"/>
      <c r="X295" s="195"/>
      <c r="Y295" s="181"/>
      <c r="Z295" s="163"/>
      <c r="AA295" s="365"/>
      <c r="AB295" s="365"/>
      <c r="AC295" s="365"/>
      <c r="AD295" s="165"/>
      <c r="AE295" s="165"/>
      <c r="AF295" s="165"/>
      <c r="AG295" s="165"/>
      <c r="AH295" s="165"/>
      <c r="AI295" s="165"/>
      <c r="AJ295" s="165"/>
      <c r="AK295" s="165"/>
      <c r="AL295" s="165"/>
      <c r="AM295" s="165"/>
      <c r="AN295" s="165"/>
      <c r="AO295" s="165"/>
      <c r="AP295" s="165"/>
      <c r="AQ295" s="165"/>
    </row>
    <row r="296" ht="12.75" customHeight="1">
      <c r="A296" s="426"/>
      <c r="B296" s="180"/>
      <c r="C296" s="180"/>
      <c r="D296" s="180"/>
      <c r="E296" s="180"/>
      <c r="F296" s="180"/>
      <c r="G296" s="180"/>
      <c r="H296" s="427"/>
      <c r="I296" s="268"/>
      <c r="J296" s="396"/>
      <c r="K296" s="396"/>
      <c r="L296" s="397"/>
      <c r="M296" s="397"/>
      <c r="N296" s="397"/>
      <c r="O296" s="397"/>
      <c r="P296" s="406"/>
      <c r="Q296" s="406"/>
      <c r="R296" s="406"/>
      <c r="S296" s="406"/>
      <c r="T296" s="160"/>
      <c r="U296" s="195"/>
      <c r="V296" s="195"/>
      <c r="W296" s="195"/>
      <c r="X296" s="195"/>
      <c r="Y296" s="181"/>
      <c r="Z296" s="163"/>
      <c r="AA296" s="365"/>
      <c r="AB296" s="365"/>
      <c r="AC296" s="365"/>
      <c r="AD296" s="165"/>
      <c r="AE296" s="165"/>
      <c r="AF296" s="165"/>
      <c r="AG296" s="165"/>
      <c r="AH296" s="165"/>
      <c r="AI296" s="165"/>
      <c r="AJ296" s="165"/>
      <c r="AK296" s="165"/>
      <c r="AL296" s="165"/>
      <c r="AM296" s="165"/>
      <c r="AN296" s="165"/>
      <c r="AO296" s="165"/>
      <c r="AP296" s="165"/>
      <c r="AQ296" s="165"/>
    </row>
    <row r="297" ht="12.75" customHeight="1">
      <c r="A297" s="426"/>
      <c r="B297" s="180"/>
      <c r="C297" s="180"/>
      <c r="D297" s="180"/>
      <c r="E297" s="180"/>
      <c r="F297" s="180"/>
      <c r="G297" s="180"/>
      <c r="H297" s="427"/>
      <c r="I297" s="268"/>
      <c r="J297" s="396"/>
      <c r="K297" s="396"/>
      <c r="L297" s="397"/>
      <c r="M297" s="397"/>
      <c r="N297" s="397"/>
      <c r="O297" s="397"/>
      <c r="P297" s="406"/>
      <c r="Q297" s="406"/>
      <c r="R297" s="406"/>
      <c r="S297" s="406"/>
      <c r="T297" s="160"/>
      <c r="U297" s="195"/>
      <c r="V297" s="195"/>
      <c r="W297" s="195"/>
      <c r="X297" s="195"/>
      <c r="Y297" s="181"/>
      <c r="Z297" s="163"/>
      <c r="AA297" s="365"/>
      <c r="AB297" s="365"/>
      <c r="AC297" s="365"/>
      <c r="AD297" s="165"/>
      <c r="AE297" s="165"/>
      <c r="AF297" s="165"/>
      <c r="AG297" s="165"/>
      <c r="AH297" s="165"/>
      <c r="AI297" s="165"/>
      <c r="AJ297" s="165"/>
      <c r="AK297" s="165"/>
      <c r="AL297" s="165"/>
      <c r="AM297" s="165"/>
      <c r="AN297" s="165"/>
      <c r="AO297" s="165"/>
      <c r="AP297" s="165"/>
      <c r="AQ297" s="165"/>
    </row>
    <row r="298" ht="12.75" customHeight="1">
      <c r="A298" s="426"/>
      <c r="B298" s="180"/>
      <c r="C298" s="180"/>
      <c r="D298" s="180"/>
      <c r="E298" s="180"/>
      <c r="F298" s="180"/>
      <c r="G298" s="180"/>
      <c r="H298" s="427"/>
      <c r="I298" s="268"/>
      <c r="J298" s="396"/>
      <c r="K298" s="396"/>
      <c r="L298" s="397"/>
      <c r="M298" s="397"/>
      <c r="N298" s="397"/>
      <c r="O298" s="397"/>
      <c r="P298" s="406"/>
      <c r="Q298" s="406"/>
      <c r="R298" s="406"/>
      <c r="S298" s="406"/>
      <c r="T298" s="160"/>
      <c r="U298" s="195"/>
      <c r="V298" s="195"/>
      <c r="W298" s="195"/>
      <c r="X298" s="195"/>
      <c r="Y298" s="181"/>
      <c r="Z298" s="163"/>
      <c r="AA298" s="365"/>
      <c r="AB298" s="365"/>
      <c r="AC298" s="365"/>
      <c r="AD298" s="165"/>
      <c r="AE298" s="165"/>
      <c r="AF298" s="165"/>
      <c r="AG298" s="165"/>
      <c r="AH298" s="165"/>
      <c r="AI298" s="165"/>
      <c r="AJ298" s="165"/>
      <c r="AK298" s="165"/>
      <c r="AL298" s="165"/>
      <c r="AM298" s="165"/>
      <c r="AN298" s="165"/>
      <c r="AO298" s="165"/>
      <c r="AP298" s="165"/>
      <c r="AQ298" s="165"/>
    </row>
    <row r="299" ht="12.75" customHeight="1">
      <c r="A299" s="426"/>
      <c r="B299" s="180"/>
      <c r="C299" s="180"/>
      <c r="D299" s="180"/>
      <c r="E299" s="180"/>
      <c r="F299" s="180"/>
      <c r="G299" s="180"/>
      <c r="H299" s="427"/>
      <c r="I299" s="268"/>
      <c r="J299" s="396"/>
      <c r="K299" s="396"/>
      <c r="L299" s="397"/>
      <c r="M299" s="397"/>
      <c r="N299" s="397"/>
      <c r="O299" s="397"/>
      <c r="P299" s="406"/>
      <c r="Q299" s="406"/>
      <c r="R299" s="406"/>
      <c r="S299" s="406"/>
      <c r="T299" s="160"/>
      <c r="U299" s="195"/>
      <c r="V299" s="195"/>
      <c r="W299" s="195"/>
      <c r="X299" s="195"/>
      <c r="Y299" s="181"/>
      <c r="Z299" s="163"/>
      <c r="AA299" s="365"/>
      <c r="AB299" s="365"/>
      <c r="AC299" s="365"/>
      <c r="AD299" s="165"/>
      <c r="AE299" s="165"/>
      <c r="AF299" s="165"/>
      <c r="AG299" s="165"/>
      <c r="AH299" s="165"/>
      <c r="AI299" s="165"/>
      <c r="AJ299" s="165"/>
      <c r="AK299" s="165"/>
      <c r="AL299" s="165"/>
      <c r="AM299" s="165"/>
      <c r="AN299" s="165"/>
      <c r="AO299" s="165"/>
      <c r="AP299" s="165"/>
      <c r="AQ299" s="165"/>
    </row>
    <row r="300" ht="12.75" customHeight="1">
      <c r="A300" s="426"/>
      <c r="B300" s="180"/>
      <c r="C300" s="180"/>
      <c r="D300" s="180"/>
      <c r="E300" s="180"/>
      <c r="F300" s="180"/>
      <c r="G300" s="180"/>
      <c r="H300" s="427"/>
      <c r="I300" s="268"/>
      <c r="J300" s="396"/>
      <c r="K300" s="396"/>
      <c r="L300" s="397"/>
      <c r="M300" s="397"/>
      <c r="N300" s="397"/>
      <c r="O300" s="397"/>
      <c r="P300" s="406"/>
      <c r="Q300" s="406"/>
      <c r="R300" s="406"/>
      <c r="S300" s="406"/>
      <c r="T300" s="160"/>
      <c r="U300" s="195"/>
      <c r="V300" s="195"/>
      <c r="W300" s="195"/>
      <c r="X300" s="195"/>
      <c r="Y300" s="181"/>
      <c r="Z300" s="163"/>
      <c r="AA300" s="365"/>
      <c r="AB300" s="365"/>
      <c r="AC300" s="365"/>
      <c r="AD300" s="165"/>
      <c r="AE300" s="165"/>
      <c r="AF300" s="165"/>
      <c r="AG300" s="165"/>
      <c r="AH300" s="165"/>
      <c r="AI300" s="165"/>
      <c r="AJ300" s="165"/>
      <c r="AK300" s="165"/>
      <c r="AL300" s="165"/>
      <c r="AM300" s="165"/>
      <c r="AN300" s="165"/>
      <c r="AO300" s="165"/>
      <c r="AP300" s="165"/>
      <c r="AQ300" s="165"/>
    </row>
    <row r="301" ht="12.75" customHeight="1">
      <c r="A301" s="426"/>
      <c r="B301" s="180"/>
      <c r="C301" s="180"/>
      <c r="D301" s="180"/>
      <c r="E301" s="180"/>
      <c r="F301" s="180"/>
      <c r="G301" s="180"/>
      <c r="H301" s="427"/>
      <c r="I301" s="268"/>
      <c r="J301" s="396"/>
      <c r="K301" s="396"/>
      <c r="L301" s="397"/>
      <c r="M301" s="397"/>
      <c r="N301" s="397"/>
      <c r="O301" s="397"/>
      <c r="P301" s="406"/>
      <c r="Q301" s="406"/>
      <c r="R301" s="406"/>
      <c r="S301" s="406"/>
      <c r="T301" s="160"/>
      <c r="U301" s="195"/>
      <c r="V301" s="195"/>
      <c r="W301" s="195"/>
      <c r="X301" s="195"/>
      <c r="Y301" s="181"/>
      <c r="Z301" s="163"/>
      <c r="AA301" s="365"/>
      <c r="AB301" s="365"/>
      <c r="AC301" s="365"/>
      <c r="AD301" s="165"/>
      <c r="AE301" s="165"/>
      <c r="AF301" s="165"/>
      <c r="AG301" s="165"/>
      <c r="AH301" s="165"/>
      <c r="AI301" s="165"/>
      <c r="AJ301" s="165"/>
      <c r="AK301" s="165"/>
      <c r="AL301" s="165"/>
      <c r="AM301" s="165"/>
      <c r="AN301" s="165"/>
      <c r="AO301" s="165"/>
      <c r="AP301" s="165"/>
      <c r="AQ301" s="165"/>
    </row>
    <row r="302" ht="12.75" customHeight="1">
      <c r="A302" s="426"/>
      <c r="B302" s="180"/>
      <c r="C302" s="180"/>
      <c r="D302" s="180"/>
      <c r="E302" s="180"/>
      <c r="F302" s="180"/>
      <c r="G302" s="180"/>
      <c r="H302" s="427"/>
      <c r="I302" s="268"/>
      <c r="J302" s="396"/>
      <c r="K302" s="396"/>
      <c r="L302" s="397"/>
      <c r="M302" s="397"/>
      <c r="N302" s="397"/>
      <c r="O302" s="397"/>
      <c r="P302" s="406"/>
      <c r="Q302" s="406"/>
      <c r="R302" s="406"/>
      <c r="S302" s="406"/>
      <c r="T302" s="160"/>
      <c r="U302" s="195"/>
      <c r="V302" s="195"/>
      <c r="W302" s="195"/>
      <c r="X302" s="195"/>
      <c r="Y302" s="181"/>
      <c r="Z302" s="163"/>
      <c r="AA302" s="365"/>
      <c r="AB302" s="365"/>
      <c r="AC302" s="365"/>
      <c r="AD302" s="165"/>
      <c r="AE302" s="165"/>
      <c r="AF302" s="165"/>
      <c r="AG302" s="165"/>
      <c r="AH302" s="165"/>
      <c r="AI302" s="165"/>
      <c r="AJ302" s="165"/>
      <c r="AK302" s="165"/>
      <c r="AL302" s="165"/>
      <c r="AM302" s="165"/>
      <c r="AN302" s="165"/>
      <c r="AO302" s="165"/>
      <c r="AP302" s="165"/>
      <c r="AQ302" s="165"/>
    </row>
    <row r="303" ht="12.75" customHeight="1">
      <c r="A303" s="426"/>
      <c r="B303" s="180"/>
      <c r="C303" s="180"/>
      <c r="D303" s="180"/>
      <c r="E303" s="180"/>
      <c r="F303" s="180"/>
      <c r="G303" s="180"/>
      <c r="H303" s="427"/>
      <c r="I303" s="268"/>
      <c r="J303" s="396"/>
      <c r="K303" s="396"/>
      <c r="L303" s="397"/>
      <c r="M303" s="397"/>
      <c r="N303" s="397"/>
      <c r="O303" s="397"/>
      <c r="P303" s="406"/>
      <c r="Q303" s="406"/>
      <c r="R303" s="406"/>
      <c r="S303" s="406"/>
      <c r="T303" s="160"/>
      <c r="U303" s="195"/>
      <c r="V303" s="195"/>
      <c r="W303" s="195"/>
      <c r="X303" s="195"/>
      <c r="Y303" s="181"/>
      <c r="Z303" s="163"/>
      <c r="AA303" s="365"/>
      <c r="AB303" s="365"/>
      <c r="AC303" s="365"/>
      <c r="AD303" s="165"/>
      <c r="AE303" s="165"/>
      <c r="AF303" s="165"/>
      <c r="AG303" s="165"/>
      <c r="AH303" s="165"/>
      <c r="AI303" s="165"/>
      <c r="AJ303" s="165"/>
      <c r="AK303" s="165"/>
      <c r="AL303" s="165"/>
      <c r="AM303" s="165"/>
      <c r="AN303" s="165"/>
      <c r="AO303" s="165"/>
      <c r="AP303" s="165"/>
      <c r="AQ303" s="165"/>
    </row>
    <row r="304" ht="12.75" customHeight="1">
      <c r="A304" s="426"/>
      <c r="B304" s="180"/>
      <c r="C304" s="180"/>
      <c r="D304" s="180"/>
      <c r="E304" s="180"/>
      <c r="F304" s="180"/>
      <c r="G304" s="180"/>
      <c r="H304" s="427"/>
      <c r="I304" s="268"/>
      <c r="J304" s="396"/>
      <c r="K304" s="396"/>
      <c r="L304" s="397"/>
      <c r="M304" s="397"/>
      <c r="N304" s="397"/>
      <c r="O304" s="397"/>
      <c r="P304" s="406"/>
      <c r="Q304" s="406"/>
      <c r="R304" s="406"/>
      <c r="S304" s="406"/>
      <c r="T304" s="160"/>
      <c r="U304" s="195"/>
      <c r="V304" s="195"/>
      <c r="W304" s="195"/>
      <c r="X304" s="195"/>
      <c r="Y304" s="181"/>
      <c r="Z304" s="163"/>
      <c r="AA304" s="365"/>
      <c r="AB304" s="365"/>
      <c r="AC304" s="365"/>
      <c r="AD304" s="165"/>
      <c r="AE304" s="165"/>
      <c r="AF304" s="165"/>
      <c r="AG304" s="165"/>
      <c r="AH304" s="165"/>
      <c r="AI304" s="165"/>
      <c r="AJ304" s="165"/>
      <c r="AK304" s="165"/>
      <c r="AL304" s="165"/>
      <c r="AM304" s="165"/>
      <c r="AN304" s="165"/>
      <c r="AO304" s="165"/>
      <c r="AP304" s="165"/>
      <c r="AQ304" s="165"/>
    </row>
    <row r="305" ht="12.75" customHeight="1">
      <c r="A305" s="426"/>
      <c r="B305" s="180"/>
      <c r="C305" s="180"/>
      <c r="D305" s="180"/>
      <c r="E305" s="180"/>
      <c r="F305" s="180"/>
      <c r="G305" s="180"/>
      <c r="H305" s="427"/>
      <c r="I305" s="268"/>
      <c r="J305" s="396"/>
      <c r="K305" s="396"/>
      <c r="L305" s="397"/>
      <c r="M305" s="397"/>
      <c r="N305" s="397"/>
      <c r="O305" s="397"/>
      <c r="P305" s="406"/>
      <c r="Q305" s="406"/>
      <c r="R305" s="406"/>
      <c r="S305" s="406"/>
      <c r="T305" s="160"/>
      <c r="U305" s="195"/>
      <c r="V305" s="195"/>
      <c r="W305" s="195"/>
      <c r="X305" s="195"/>
      <c r="Y305" s="181"/>
      <c r="Z305" s="163"/>
      <c r="AA305" s="365"/>
      <c r="AB305" s="365"/>
      <c r="AC305" s="365"/>
      <c r="AD305" s="165"/>
      <c r="AE305" s="165"/>
      <c r="AF305" s="165"/>
      <c r="AG305" s="165"/>
      <c r="AH305" s="165"/>
      <c r="AI305" s="165"/>
      <c r="AJ305" s="165"/>
      <c r="AK305" s="165"/>
      <c r="AL305" s="165"/>
      <c r="AM305" s="165"/>
      <c r="AN305" s="165"/>
      <c r="AO305" s="165"/>
      <c r="AP305" s="165"/>
      <c r="AQ305" s="165"/>
    </row>
    <row r="306" ht="12.75" customHeight="1">
      <c r="A306" s="426"/>
      <c r="B306" s="180"/>
      <c r="C306" s="180"/>
      <c r="D306" s="180"/>
      <c r="E306" s="180"/>
      <c r="F306" s="180"/>
      <c r="G306" s="180"/>
      <c r="H306" s="427"/>
      <c r="I306" s="268"/>
      <c r="J306" s="396"/>
      <c r="K306" s="396"/>
      <c r="L306" s="397"/>
      <c r="M306" s="397"/>
      <c r="N306" s="397"/>
      <c r="O306" s="397"/>
      <c r="P306" s="406"/>
      <c r="Q306" s="406"/>
      <c r="R306" s="406"/>
      <c r="S306" s="406"/>
      <c r="T306" s="160"/>
      <c r="U306" s="195"/>
      <c r="V306" s="195"/>
      <c r="W306" s="195"/>
      <c r="X306" s="195"/>
      <c r="Y306" s="181"/>
      <c r="Z306" s="163"/>
      <c r="AA306" s="365"/>
      <c r="AB306" s="365"/>
      <c r="AC306" s="365"/>
      <c r="AD306" s="165"/>
      <c r="AE306" s="165"/>
      <c r="AF306" s="165"/>
      <c r="AG306" s="165"/>
      <c r="AH306" s="165"/>
      <c r="AI306" s="165"/>
      <c r="AJ306" s="165"/>
      <c r="AK306" s="165"/>
      <c r="AL306" s="165"/>
      <c r="AM306" s="165"/>
      <c r="AN306" s="165"/>
      <c r="AO306" s="165"/>
      <c r="AP306" s="165"/>
      <c r="AQ306" s="165"/>
    </row>
    <row r="307" ht="12.75" customHeight="1">
      <c r="A307" s="426"/>
      <c r="B307" s="180"/>
      <c r="C307" s="180"/>
      <c r="D307" s="180"/>
      <c r="E307" s="180"/>
      <c r="F307" s="180"/>
      <c r="G307" s="180"/>
      <c r="H307" s="427"/>
      <c r="I307" s="268"/>
      <c r="J307" s="396"/>
      <c r="K307" s="396"/>
      <c r="L307" s="397"/>
      <c r="M307" s="397"/>
      <c r="N307" s="397"/>
      <c r="O307" s="397"/>
      <c r="P307" s="406"/>
      <c r="Q307" s="406"/>
      <c r="R307" s="406"/>
      <c r="S307" s="406"/>
      <c r="T307" s="160"/>
      <c r="U307" s="195"/>
      <c r="V307" s="195"/>
      <c r="W307" s="195"/>
      <c r="X307" s="195"/>
      <c r="Y307" s="181"/>
      <c r="Z307" s="163"/>
      <c r="AA307" s="365"/>
      <c r="AB307" s="365"/>
      <c r="AC307" s="365"/>
      <c r="AD307" s="165"/>
      <c r="AE307" s="165"/>
      <c r="AF307" s="165"/>
      <c r="AG307" s="165"/>
      <c r="AH307" s="165"/>
      <c r="AI307" s="165"/>
      <c r="AJ307" s="165"/>
      <c r="AK307" s="165"/>
      <c r="AL307" s="165"/>
      <c r="AM307" s="165"/>
      <c r="AN307" s="165"/>
      <c r="AO307" s="165"/>
      <c r="AP307" s="165"/>
      <c r="AQ307" s="165"/>
    </row>
    <row r="308" ht="12.75" customHeight="1">
      <c r="A308" s="426"/>
      <c r="B308" s="180"/>
      <c r="C308" s="180"/>
      <c r="D308" s="180"/>
      <c r="E308" s="180"/>
      <c r="F308" s="180"/>
      <c r="G308" s="180"/>
      <c r="H308" s="427"/>
      <c r="I308" s="268"/>
      <c r="J308" s="396"/>
      <c r="K308" s="396"/>
      <c r="L308" s="397"/>
      <c r="M308" s="397"/>
      <c r="N308" s="397"/>
      <c r="O308" s="397"/>
      <c r="P308" s="406"/>
      <c r="Q308" s="406"/>
      <c r="R308" s="406"/>
      <c r="S308" s="406"/>
      <c r="T308" s="160"/>
      <c r="U308" s="195"/>
      <c r="V308" s="195"/>
      <c r="W308" s="195"/>
      <c r="X308" s="195"/>
      <c r="Y308" s="181"/>
      <c r="Z308" s="163"/>
      <c r="AA308" s="365"/>
      <c r="AB308" s="365"/>
      <c r="AC308" s="365"/>
      <c r="AD308" s="165"/>
      <c r="AE308" s="165"/>
      <c r="AF308" s="165"/>
      <c r="AG308" s="165"/>
      <c r="AH308" s="165"/>
      <c r="AI308" s="165"/>
      <c r="AJ308" s="165"/>
      <c r="AK308" s="165"/>
      <c r="AL308" s="165"/>
      <c r="AM308" s="165"/>
      <c r="AN308" s="165"/>
      <c r="AO308" s="165"/>
      <c r="AP308" s="165"/>
      <c r="AQ308" s="165"/>
    </row>
    <row r="309" ht="12.75" customHeight="1">
      <c r="A309" s="426"/>
      <c r="B309" s="180"/>
      <c r="C309" s="180"/>
      <c r="D309" s="180"/>
      <c r="E309" s="180"/>
      <c r="F309" s="180"/>
      <c r="G309" s="180"/>
      <c r="H309" s="427"/>
      <c r="I309" s="268"/>
      <c r="J309" s="396"/>
      <c r="K309" s="396"/>
      <c r="L309" s="397"/>
      <c r="M309" s="397"/>
      <c r="N309" s="397"/>
      <c r="O309" s="397"/>
      <c r="P309" s="406"/>
      <c r="Q309" s="406"/>
      <c r="R309" s="406"/>
      <c r="S309" s="406"/>
      <c r="T309" s="160"/>
      <c r="U309" s="195"/>
      <c r="V309" s="195"/>
      <c r="W309" s="195"/>
      <c r="X309" s="195"/>
      <c r="Y309" s="181"/>
      <c r="Z309" s="163"/>
      <c r="AA309" s="365"/>
      <c r="AB309" s="365"/>
      <c r="AC309" s="365"/>
      <c r="AD309" s="165"/>
      <c r="AE309" s="165"/>
      <c r="AF309" s="165"/>
      <c r="AG309" s="165"/>
      <c r="AH309" s="165"/>
      <c r="AI309" s="165"/>
      <c r="AJ309" s="165"/>
      <c r="AK309" s="165"/>
      <c r="AL309" s="165"/>
      <c r="AM309" s="165"/>
      <c r="AN309" s="165"/>
      <c r="AO309" s="165"/>
      <c r="AP309" s="165"/>
      <c r="AQ309" s="165"/>
    </row>
    <row r="310" ht="12.75" customHeight="1">
      <c r="A310" s="426"/>
      <c r="B310" s="180"/>
      <c r="C310" s="180"/>
      <c r="D310" s="180"/>
      <c r="E310" s="180"/>
      <c r="F310" s="180"/>
      <c r="G310" s="180"/>
      <c r="H310" s="427"/>
      <c r="I310" s="268"/>
      <c r="J310" s="396"/>
      <c r="K310" s="396"/>
      <c r="L310" s="397"/>
      <c r="M310" s="397"/>
      <c r="N310" s="397"/>
      <c r="O310" s="397"/>
      <c r="P310" s="406"/>
      <c r="Q310" s="406"/>
      <c r="R310" s="406"/>
      <c r="S310" s="406"/>
      <c r="T310" s="160"/>
      <c r="U310" s="195"/>
      <c r="V310" s="195"/>
      <c r="W310" s="195"/>
      <c r="X310" s="195"/>
      <c r="Y310" s="181"/>
      <c r="Z310" s="163"/>
      <c r="AA310" s="365"/>
      <c r="AB310" s="365"/>
      <c r="AC310" s="365"/>
      <c r="AD310" s="165"/>
      <c r="AE310" s="165"/>
      <c r="AF310" s="165"/>
      <c r="AG310" s="165"/>
      <c r="AH310" s="165"/>
      <c r="AI310" s="165"/>
      <c r="AJ310" s="165"/>
      <c r="AK310" s="165"/>
      <c r="AL310" s="165"/>
      <c r="AM310" s="165"/>
      <c r="AN310" s="165"/>
      <c r="AO310" s="165"/>
      <c r="AP310" s="165"/>
      <c r="AQ310" s="165"/>
    </row>
    <row r="311" ht="12.75" customHeight="1">
      <c r="A311" s="426"/>
      <c r="B311" s="180"/>
      <c r="C311" s="180"/>
      <c r="D311" s="180"/>
      <c r="E311" s="180"/>
      <c r="F311" s="180"/>
      <c r="G311" s="180"/>
      <c r="H311" s="427"/>
      <c r="I311" s="268"/>
      <c r="J311" s="396"/>
      <c r="K311" s="396"/>
      <c r="L311" s="397"/>
      <c r="M311" s="397"/>
      <c r="N311" s="397"/>
      <c r="O311" s="397"/>
      <c r="P311" s="406"/>
      <c r="Q311" s="406"/>
      <c r="R311" s="406"/>
      <c r="S311" s="406"/>
      <c r="T311" s="160"/>
      <c r="U311" s="195"/>
      <c r="V311" s="195"/>
      <c r="W311" s="195"/>
      <c r="X311" s="195"/>
      <c r="Y311" s="181"/>
      <c r="Z311" s="163"/>
      <c r="AA311" s="365"/>
      <c r="AB311" s="365"/>
      <c r="AC311" s="365"/>
      <c r="AD311" s="165"/>
      <c r="AE311" s="165"/>
      <c r="AF311" s="165"/>
      <c r="AG311" s="165"/>
      <c r="AH311" s="165"/>
      <c r="AI311" s="165"/>
      <c r="AJ311" s="165"/>
      <c r="AK311" s="165"/>
      <c r="AL311" s="165"/>
      <c r="AM311" s="165"/>
      <c r="AN311" s="165"/>
      <c r="AO311" s="165"/>
      <c r="AP311" s="165"/>
      <c r="AQ311" s="165"/>
    </row>
    <row r="312" ht="12.75" customHeight="1">
      <c r="A312" s="426"/>
      <c r="B312" s="180"/>
      <c r="C312" s="180"/>
      <c r="D312" s="180"/>
      <c r="E312" s="180"/>
      <c r="F312" s="180"/>
      <c r="G312" s="180"/>
      <c r="H312" s="427"/>
      <c r="I312" s="268"/>
      <c r="J312" s="396"/>
      <c r="K312" s="396"/>
      <c r="L312" s="397"/>
      <c r="M312" s="397"/>
      <c r="N312" s="397"/>
      <c r="O312" s="397"/>
      <c r="P312" s="406"/>
      <c r="Q312" s="406"/>
      <c r="R312" s="406"/>
      <c r="S312" s="406"/>
      <c r="T312" s="160"/>
      <c r="U312" s="195"/>
      <c r="V312" s="195"/>
      <c r="W312" s="195"/>
      <c r="X312" s="195"/>
      <c r="Y312" s="181"/>
      <c r="Z312" s="163"/>
      <c r="AA312" s="365"/>
      <c r="AB312" s="365"/>
      <c r="AC312" s="365"/>
      <c r="AD312" s="165"/>
      <c r="AE312" s="165"/>
      <c r="AF312" s="165"/>
      <c r="AG312" s="165"/>
      <c r="AH312" s="165"/>
      <c r="AI312" s="165"/>
      <c r="AJ312" s="165"/>
      <c r="AK312" s="165"/>
      <c r="AL312" s="165"/>
      <c r="AM312" s="165"/>
      <c r="AN312" s="165"/>
      <c r="AO312" s="165"/>
      <c r="AP312" s="165"/>
      <c r="AQ312" s="165"/>
    </row>
    <row r="313" ht="12.75" customHeight="1">
      <c r="A313" s="426"/>
      <c r="B313" s="180"/>
      <c r="C313" s="180"/>
      <c r="D313" s="180"/>
      <c r="E313" s="180"/>
      <c r="F313" s="180"/>
      <c r="G313" s="180"/>
      <c r="H313" s="427"/>
      <c r="I313" s="268"/>
      <c r="J313" s="396"/>
      <c r="K313" s="396"/>
      <c r="L313" s="397"/>
      <c r="M313" s="397"/>
      <c r="N313" s="397"/>
      <c r="O313" s="397"/>
      <c r="P313" s="406"/>
      <c r="Q313" s="406"/>
      <c r="R313" s="406"/>
      <c r="S313" s="406"/>
      <c r="T313" s="160"/>
      <c r="U313" s="195"/>
      <c r="V313" s="195"/>
      <c r="W313" s="195"/>
      <c r="X313" s="195"/>
      <c r="Y313" s="181"/>
      <c r="Z313" s="163"/>
      <c r="AA313" s="365"/>
      <c r="AB313" s="365"/>
      <c r="AC313" s="365"/>
      <c r="AD313" s="165"/>
      <c r="AE313" s="165"/>
      <c r="AF313" s="165"/>
      <c r="AG313" s="165"/>
      <c r="AH313" s="165"/>
      <c r="AI313" s="165"/>
      <c r="AJ313" s="165"/>
      <c r="AK313" s="165"/>
      <c r="AL313" s="165"/>
      <c r="AM313" s="165"/>
      <c r="AN313" s="165"/>
      <c r="AO313" s="165"/>
      <c r="AP313" s="165"/>
      <c r="AQ313" s="165"/>
    </row>
    <row r="314" ht="12.75" customHeight="1">
      <c r="A314" s="426"/>
      <c r="B314" s="180"/>
      <c r="C314" s="180"/>
      <c r="D314" s="180"/>
      <c r="E314" s="180"/>
      <c r="F314" s="180"/>
      <c r="G314" s="180"/>
      <c r="H314" s="427"/>
      <c r="I314" s="268"/>
      <c r="J314" s="396"/>
      <c r="K314" s="396"/>
      <c r="L314" s="397"/>
      <c r="M314" s="397"/>
      <c r="N314" s="397"/>
      <c r="O314" s="397"/>
      <c r="P314" s="406"/>
      <c r="Q314" s="406"/>
      <c r="R314" s="406"/>
      <c r="S314" s="406"/>
      <c r="T314" s="160"/>
      <c r="U314" s="195"/>
      <c r="V314" s="195"/>
      <c r="W314" s="195"/>
      <c r="X314" s="195"/>
      <c r="Y314" s="181"/>
      <c r="Z314" s="163"/>
      <c r="AA314" s="365"/>
      <c r="AB314" s="365"/>
      <c r="AC314" s="365"/>
      <c r="AD314" s="165"/>
      <c r="AE314" s="165"/>
      <c r="AF314" s="165"/>
      <c r="AG314" s="165"/>
      <c r="AH314" s="165"/>
      <c r="AI314" s="165"/>
      <c r="AJ314" s="165"/>
      <c r="AK314" s="165"/>
      <c r="AL314" s="165"/>
      <c r="AM314" s="165"/>
      <c r="AN314" s="165"/>
      <c r="AO314" s="165"/>
      <c r="AP314" s="165"/>
      <c r="AQ314" s="165"/>
    </row>
    <row r="315" ht="12.75" customHeight="1">
      <c r="A315" s="426"/>
      <c r="B315" s="180"/>
      <c r="C315" s="180"/>
      <c r="D315" s="180"/>
      <c r="E315" s="180"/>
      <c r="F315" s="180"/>
      <c r="G315" s="180"/>
      <c r="H315" s="427"/>
      <c r="I315" s="268"/>
      <c r="J315" s="396"/>
      <c r="K315" s="396"/>
      <c r="L315" s="397"/>
      <c r="M315" s="397"/>
      <c r="N315" s="397"/>
      <c r="O315" s="397"/>
      <c r="P315" s="406"/>
      <c r="Q315" s="406"/>
      <c r="R315" s="406"/>
      <c r="S315" s="406"/>
      <c r="T315" s="160"/>
      <c r="U315" s="195"/>
      <c r="V315" s="195"/>
      <c r="W315" s="195"/>
      <c r="X315" s="195"/>
      <c r="Y315" s="181"/>
      <c r="Z315" s="163"/>
      <c r="AA315" s="365"/>
      <c r="AB315" s="365"/>
      <c r="AC315" s="365"/>
      <c r="AD315" s="165"/>
      <c r="AE315" s="165"/>
      <c r="AF315" s="165"/>
      <c r="AG315" s="165"/>
      <c r="AH315" s="165"/>
      <c r="AI315" s="165"/>
      <c r="AJ315" s="165"/>
      <c r="AK315" s="165"/>
      <c r="AL315" s="165"/>
      <c r="AM315" s="165"/>
      <c r="AN315" s="165"/>
      <c r="AO315" s="165"/>
      <c r="AP315" s="165"/>
      <c r="AQ315" s="165"/>
    </row>
    <row r="316" ht="12.75" customHeight="1">
      <c r="A316" s="426"/>
      <c r="B316" s="180"/>
      <c r="C316" s="180"/>
      <c r="D316" s="180"/>
      <c r="E316" s="180"/>
      <c r="F316" s="180"/>
      <c r="G316" s="180"/>
      <c r="H316" s="427"/>
      <c r="I316" s="268"/>
      <c r="J316" s="396"/>
      <c r="K316" s="396"/>
      <c r="L316" s="397"/>
      <c r="M316" s="397"/>
      <c r="N316" s="397"/>
      <c r="O316" s="397"/>
      <c r="P316" s="406"/>
      <c r="Q316" s="406"/>
      <c r="R316" s="406"/>
      <c r="S316" s="406"/>
      <c r="T316" s="160"/>
      <c r="U316" s="195"/>
      <c r="V316" s="195"/>
      <c r="W316" s="195"/>
      <c r="X316" s="195"/>
      <c r="Y316" s="181"/>
      <c r="Z316" s="163"/>
      <c r="AA316" s="365"/>
      <c r="AB316" s="365"/>
      <c r="AC316" s="365"/>
      <c r="AD316" s="165"/>
      <c r="AE316" s="165"/>
      <c r="AF316" s="165"/>
      <c r="AG316" s="165"/>
      <c r="AH316" s="165"/>
      <c r="AI316" s="165"/>
      <c r="AJ316" s="165"/>
      <c r="AK316" s="165"/>
      <c r="AL316" s="165"/>
      <c r="AM316" s="165"/>
      <c r="AN316" s="165"/>
      <c r="AO316" s="165"/>
      <c r="AP316" s="165"/>
      <c r="AQ316" s="165"/>
    </row>
    <row r="317" ht="12.75" customHeight="1">
      <c r="A317" s="426"/>
      <c r="B317" s="180"/>
      <c r="C317" s="180"/>
      <c r="D317" s="180"/>
      <c r="E317" s="180"/>
      <c r="F317" s="180"/>
      <c r="G317" s="180"/>
      <c r="H317" s="427"/>
      <c r="I317" s="268"/>
      <c r="J317" s="396"/>
      <c r="K317" s="396"/>
      <c r="L317" s="397"/>
      <c r="M317" s="397"/>
      <c r="N317" s="397"/>
      <c r="O317" s="397"/>
      <c r="P317" s="406"/>
      <c r="Q317" s="406"/>
      <c r="R317" s="406"/>
      <c r="S317" s="406"/>
      <c r="T317" s="160"/>
      <c r="U317" s="195"/>
      <c r="V317" s="195"/>
      <c r="W317" s="195"/>
      <c r="X317" s="195"/>
      <c r="Y317" s="181"/>
      <c r="Z317" s="163"/>
      <c r="AA317" s="365"/>
      <c r="AB317" s="365"/>
      <c r="AC317" s="365"/>
      <c r="AD317" s="165"/>
      <c r="AE317" s="165"/>
      <c r="AF317" s="165"/>
      <c r="AG317" s="165"/>
      <c r="AH317" s="165"/>
      <c r="AI317" s="165"/>
      <c r="AJ317" s="165"/>
      <c r="AK317" s="165"/>
      <c r="AL317" s="165"/>
      <c r="AM317" s="165"/>
      <c r="AN317" s="165"/>
      <c r="AO317" s="165"/>
      <c r="AP317" s="165"/>
      <c r="AQ317" s="165"/>
    </row>
    <row r="318" ht="12.75" customHeight="1">
      <c r="A318" s="426"/>
      <c r="B318" s="180"/>
      <c r="C318" s="180"/>
      <c r="D318" s="180"/>
      <c r="E318" s="180"/>
      <c r="F318" s="180"/>
      <c r="G318" s="180"/>
      <c r="H318" s="427"/>
      <c r="I318" s="268"/>
      <c r="J318" s="396"/>
      <c r="K318" s="396"/>
      <c r="L318" s="397"/>
      <c r="M318" s="397"/>
      <c r="N318" s="397"/>
      <c r="O318" s="397"/>
      <c r="P318" s="406"/>
      <c r="Q318" s="406"/>
      <c r="R318" s="406"/>
      <c r="S318" s="406"/>
      <c r="T318" s="160"/>
      <c r="U318" s="195"/>
      <c r="V318" s="195"/>
      <c r="W318" s="195"/>
      <c r="X318" s="195"/>
      <c r="Y318" s="181"/>
      <c r="Z318" s="163"/>
      <c r="AA318" s="365"/>
      <c r="AB318" s="365"/>
      <c r="AC318" s="365"/>
      <c r="AD318" s="165"/>
      <c r="AE318" s="165"/>
      <c r="AF318" s="165"/>
      <c r="AG318" s="165"/>
      <c r="AH318" s="165"/>
      <c r="AI318" s="165"/>
      <c r="AJ318" s="165"/>
      <c r="AK318" s="165"/>
      <c r="AL318" s="165"/>
      <c r="AM318" s="165"/>
      <c r="AN318" s="165"/>
      <c r="AO318" s="165"/>
      <c r="AP318" s="165"/>
      <c r="AQ318" s="165"/>
    </row>
    <row r="319" ht="12.75" customHeight="1">
      <c r="A319" s="426"/>
      <c r="B319" s="180"/>
      <c r="C319" s="180"/>
      <c r="D319" s="180"/>
      <c r="E319" s="180"/>
      <c r="F319" s="180"/>
      <c r="G319" s="180"/>
      <c r="H319" s="427"/>
      <c r="I319" s="268"/>
      <c r="J319" s="396"/>
      <c r="K319" s="396"/>
      <c r="L319" s="397"/>
      <c r="M319" s="397"/>
      <c r="N319" s="397"/>
      <c r="O319" s="397"/>
      <c r="P319" s="406"/>
      <c r="Q319" s="406"/>
      <c r="R319" s="406"/>
      <c r="S319" s="406"/>
      <c r="T319" s="160"/>
      <c r="U319" s="195"/>
      <c r="V319" s="195"/>
      <c r="W319" s="195"/>
      <c r="X319" s="195"/>
      <c r="Y319" s="181"/>
      <c r="Z319" s="163"/>
      <c r="AA319" s="365"/>
      <c r="AB319" s="365"/>
      <c r="AC319" s="365"/>
      <c r="AD319" s="165"/>
      <c r="AE319" s="165"/>
      <c r="AF319" s="165"/>
      <c r="AG319" s="165"/>
      <c r="AH319" s="165"/>
      <c r="AI319" s="165"/>
      <c r="AJ319" s="165"/>
      <c r="AK319" s="165"/>
      <c r="AL319" s="165"/>
      <c r="AM319" s="165"/>
      <c r="AN319" s="165"/>
      <c r="AO319" s="165"/>
      <c r="AP319" s="165"/>
      <c r="AQ319" s="165"/>
    </row>
    <row r="320" ht="12.75" customHeight="1">
      <c r="A320" s="426"/>
      <c r="B320" s="180"/>
      <c r="C320" s="180"/>
      <c r="D320" s="180"/>
      <c r="E320" s="180"/>
      <c r="F320" s="180"/>
      <c r="G320" s="180"/>
      <c r="H320" s="427"/>
      <c r="I320" s="268"/>
      <c r="J320" s="396"/>
      <c r="K320" s="396"/>
      <c r="L320" s="397"/>
      <c r="M320" s="397"/>
      <c r="N320" s="397"/>
      <c r="O320" s="397"/>
      <c r="P320" s="406"/>
      <c r="Q320" s="406"/>
      <c r="R320" s="406"/>
      <c r="S320" s="406"/>
      <c r="T320" s="160"/>
      <c r="U320" s="195"/>
      <c r="V320" s="195"/>
      <c r="W320" s="195"/>
      <c r="X320" s="195"/>
      <c r="Y320" s="181"/>
      <c r="Z320" s="163"/>
      <c r="AA320" s="365"/>
      <c r="AB320" s="365"/>
      <c r="AC320" s="365"/>
      <c r="AD320" s="165"/>
      <c r="AE320" s="165"/>
      <c r="AF320" s="165"/>
      <c r="AG320" s="165"/>
      <c r="AH320" s="165"/>
      <c r="AI320" s="165"/>
      <c r="AJ320" s="165"/>
      <c r="AK320" s="165"/>
      <c r="AL320" s="165"/>
      <c r="AM320" s="165"/>
      <c r="AN320" s="165"/>
      <c r="AO320" s="165"/>
      <c r="AP320" s="165"/>
      <c r="AQ320" s="165"/>
    </row>
    <row r="321" ht="12.75" customHeight="1">
      <c r="A321" s="426"/>
      <c r="B321" s="180"/>
      <c r="C321" s="180"/>
      <c r="D321" s="180"/>
      <c r="E321" s="180"/>
      <c r="F321" s="180"/>
      <c r="G321" s="180"/>
      <c r="H321" s="427"/>
      <c r="I321" s="268"/>
      <c r="J321" s="396"/>
      <c r="K321" s="396"/>
      <c r="L321" s="397"/>
      <c r="M321" s="397"/>
      <c r="N321" s="397"/>
      <c r="O321" s="397"/>
      <c r="P321" s="406"/>
      <c r="Q321" s="406"/>
      <c r="R321" s="406"/>
      <c r="S321" s="406"/>
      <c r="T321" s="160"/>
      <c r="U321" s="195"/>
      <c r="V321" s="195"/>
      <c r="W321" s="195"/>
      <c r="X321" s="195"/>
      <c r="Y321" s="181"/>
      <c r="Z321" s="163"/>
      <c r="AA321" s="365"/>
      <c r="AB321" s="365"/>
      <c r="AC321" s="365"/>
      <c r="AD321" s="165"/>
      <c r="AE321" s="165"/>
      <c r="AF321" s="165"/>
      <c r="AG321" s="165"/>
      <c r="AH321" s="165"/>
      <c r="AI321" s="165"/>
      <c r="AJ321" s="165"/>
      <c r="AK321" s="165"/>
      <c r="AL321" s="165"/>
      <c r="AM321" s="165"/>
      <c r="AN321" s="165"/>
      <c r="AO321" s="165"/>
      <c r="AP321" s="165"/>
      <c r="AQ321" s="165"/>
    </row>
    <row r="322" ht="12.75" customHeight="1">
      <c r="A322" s="426"/>
      <c r="B322" s="180"/>
      <c r="C322" s="180"/>
      <c r="D322" s="180"/>
      <c r="E322" s="180"/>
      <c r="F322" s="180"/>
      <c r="G322" s="180"/>
      <c r="H322" s="427"/>
      <c r="I322" s="268"/>
      <c r="J322" s="396"/>
      <c r="K322" s="396"/>
      <c r="L322" s="397"/>
      <c r="M322" s="397"/>
      <c r="N322" s="397"/>
      <c r="O322" s="397"/>
      <c r="P322" s="406"/>
      <c r="Q322" s="406"/>
      <c r="R322" s="406"/>
      <c r="S322" s="406"/>
      <c r="T322" s="160"/>
      <c r="U322" s="195"/>
      <c r="V322" s="195"/>
      <c r="W322" s="195"/>
      <c r="X322" s="195"/>
      <c r="Y322" s="181"/>
      <c r="Z322" s="163"/>
      <c r="AA322" s="365"/>
      <c r="AB322" s="365"/>
      <c r="AC322" s="365"/>
      <c r="AD322" s="165"/>
      <c r="AE322" s="165"/>
      <c r="AF322" s="165"/>
      <c r="AG322" s="165"/>
      <c r="AH322" s="165"/>
      <c r="AI322" s="165"/>
      <c r="AJ322" s="165"/>
      <c r="AK322" s="165"/>
      <c r="AL322" s="165"/>
      <c r="AM322" s="165"/>
      <c r="AN322" s="165"/>
      <c r="AO322" s="165"/>
      <c r="AP322" s="165"/>
      <c r="AQ322" s="165"/>
    </row>
    <row r="323" ht="12.75" customHeight="1">
      <c r="A323" s="426"/>
      <c r="B323" s="180"/>
      <c r="C323" s="180"/>
      <c r="D323" s="180"/>
      <c r="E323" s="180"/>
      <c r="F323" s="180"/>
      <c r="G323" s="180"/>
      <c r="H323" s="427"/>
      <c r="I323" s="268"/>
      <c r="J323" s="396"/>
      <c r="K323" s="396"/>
      <c r="L323" s="397"/>
      <c r="M323" s="397"/>
      <c r="N323" s="397"/>
      <c r="O323" s="397"/>
      <c r="P323" s="406"/>
      <c r="Q323" s="406"/>
      <c r="R323" s="406"/>
      <c r="S323" s="406"/>
      <c r="T323" s="160"/>
      <c r="U323" s="195"/>
      <c r="V323" s="195"/>
      <c r="W323" s="195"/>
      <c r="X323" s="195"/>
      <c r="Y323" s="181"/>
      <c r="Z323" s="163"/>
      <c r="AA323" s="365"/>
      <c r="AB323" s="365"/>
      <c r="AC323" s="365"/>
      <c r="AD323" s="165"/>
      <c r="AE323" s="165"/>
      <c r="AF323" s="165"/>
      <c r="AG323" s="165"/>
      <c r="AH323" s="165"/>
      <c r="AI323" s="165"/>
      <c r="AJ323" s="165"/>
      <c r="AK323" s="165"/>
      <c r="AL323" s="165"/>
      <c r="AM323" s="165"/>
      <c r="AN323" s="165"/>
      <c r="AO323" s="165"/>
      <c r="AP323" s="165"/>
      <c r="AQ323" s="165"/>
    </row>
    <row r="324" ht="12.75" customHeight="1">
      <c r="A324" s="426"/>
      <c r="B324" s="180"/>
      <c r="C324" s="180"/>
      <c r="D324" s="180"/>
      <c r="E324" s="180"/>
      <c r="F324" s="180"/>
      <c r="G324" s="180"/>
      <c r="H324" s="427"/>
      <c r="I324" s="268"/>
      <c r="J324" s="396"/>
      <c r="K324" s="396"/>
      <c r="L324" s="397"/>
      <c r="M324" s="397"/>
      <c r="N324" s="397"/>
      <c r="O324" s="397"/>
      <c r="P324" s="406"/>
      <c r="Q324" s="406"/>
      <c r="R324" s="406"/>
      <c r="S324" s="406"/>
      <c r="T324" s="160"/>
      <c r="U324" s="195"/>
      <c r="V324" s="195"/>
      <c r="W324" s="195"/>
      <c r="X324" s="195"/>
      <c r="Y324" s="181"/>
      <c r="Z324" s="163"/>
      <c r="AA324" s="365"/>
      <c r="AB324" s="365"/>
      <c r="AC324" s="365"/>
      <c r="AD324" s="165"/>
      <c r="AE324" s="165"/>
      <c r="AF324" s="165"/>
      <c r="AG324" s="165"/>
      <c r="AH324" s="165"/>
      <c r="AI324" s="165"/>
      <c r="AJ324" s="165"/>
      <c r="AK324" s="165"/>
      <c r="AL324" s="165"/>
      <c r="AM324" s="165"/>
      <c r="AN324" s="165"/>
      <c r="AO324" s="165"/>
      <c r="AP324" s="165"/>
      <c r="AQ324" s="165"/>
    </row>
    <row r="325" ht="12.75" customHeight="1">
      <c r="A325" s="426"/>
      <c r="B325" s="180"/>
      <c r="C325" s="180"/>
      <c r="D325" s="180"/>
      <c r="E325" s="180"/>
      <c r="F325" s="180"/>
      <c r="G325" s="180"/>
      <c r="H325" s="427"/>
      <c r="I325" s="268"/>
      <c r="J325" s="396"/>
      <c r="K325" s="396"/>
      <c r="L325" s="397"/>
      <c r="M325" s="397"/>
      <c r="N325" s="397"/>
      <c r="O325" s="397"/>
      <c r="P325" s="406"/>
      <c r="Q325" s="406"/>
      <c r="R325" s="406"/>
      <c r="S325" s="406"/>
      <c r="T325" s="160"/>
      <c r="U325" s="195"/>
      <c r="V325" s="195"/>
      <c r="W325" s="195"/>
      <c r="X325" s="195"/>
      <c r="Y325" s="181"/>
      <c r="Z325" s="163"/>
      <c r="AA325" s="365"/>
      <c r="AB325" s="365"/>
      <c r="AC325" s="365"/>
      <c r="AD325" s="165"/>
      <c r="AE325" s="165"/>
      <c r="AF325" s="165"/>
      <c r="AG325" s="165"/>
      <c r="AH325" s="165"/>
      <c r="AI325" s="165"/>
      <c r="AJ325" s="165"/>
      <c r="AK325" s="165"/>
      <c r="AL325" s="165"/>
      <c r="AM325" s="165"/>
      <c r="AN325" s="165"/>
      <c r="AO325" s="165"/>
      <c r="AP325" s="165"/>
      <c r="AQ325" s="165"/>
    </row>
    <row r="326" ht="12.75" customHeight="1">
      <c r="A326" s="426"/>
      <c r="B326" s="180"/>
      <c r="C326" s="180"/>
      <c r="D326" s="180"/>
      <c r="E326" s="180"/>
      <c r="F326" s="180"/>
      <c r="G326" s="180"/>
      <c r="H326" s="427"/>
      <c r="I326" s="268"/>
      <c r="J326" s="396"/>
      <c r="K326" s="396"/>
      <c r="L326" s="397"/>
      <c r="M326" s="397"/>
      <c r="N326" s="397"/>
      <c r="O326" s="397"/>
      <c r="P326" s="406"/>
      <c r="Q326" s="406"/>
      <c r="R326" s="406"/>
      <c r="S326" s="406"/>
      <c r="T326" s="160"/>
      <c r="U326" s="195"/>
      <c r="V326" s="195"/>
      <c r="W326" s="195"/>
      <c r="X326" s="195"/>
      <c r="Y326" s="181"/>
      <c r="Z326" s="163"/>
      <c r="AA326" s="365"/>
      <c r="AB326" s="365"/>
      <c r="AC326" s="365"/>
      <c r="AD326" s="165"/>
      <c r="AE326" s="165"/>
      <c r="AF326" s="165"/>
      <c r="AG326" s="165"/>
      <c r="AH326" s="165"/>
      <c r="AI326" s="165"/>
      <c r="AJ326" s="165"/>
      <c r="AK326" s="165"/>
      <c r="AL326" s="165"/>
      <c r="AM326" s="165"/>
      <c r="AN326" s="165"/>
      <c r="AO326" s="165"/>
      <c r="AP326" s="165"/>
      <c r="AQ326" s="165"/>
    </row>
    <row r="327" ht="12.75" customHeight="1">
      <c r="A327" s="426"/>
      <c r="B327" s="180"/>
      <c r="C327" s="180"/>
      <c r="D327" s="180"/>
      <c r="E327" s="180"/>
      <c r="F327" s="180"/>
      <c r="G327" s="180"/>
      <c r="H327" s="427"/>
      <c r="I327" s="268"/>
      <c r="J327" s="396"/>
      <c r="K327" s="396"/>
      <c r="L327" s="397"/>
      <c r="M327" s="397"/>
      <c r="N327" s="397"/>
      <c r="O327" s="397"/>
      <c r="P327" s="406"/>
      <c r="Q327" s="406"/>
      <c r="R327" s="406"/>
      <c r="S327" s="406"/>
      <c r="T327" s="160"/>
      <c r="U327" s="195"/>
      <c r="V327" s="195"/>
      <c r="W327" s="195"/>
      <c r="X327" s="195"/>
      <c r="Y327" s="181"/>
      <c r="Z327" s="163"/>
      <c r="AA327" s="365"/>
      <c r="AB327" s="365"/>
      <c r="AC327" s="365"/>
      <c r="AD327" s="165"/>
      <c r="AE327" s="165"/>
      <c r="AF327" s="165"/>
      <c r="AG327" s="165"/>
      <c r="AH327" s="165"/>
      <c r="AI327" s="165"/>
      <c r="AJ327" s="165"/>
      <c r="AK327" s="165"/>
      <c r="AL327" s="165"/>
      <c r="AM327" s="165"/>
      <c r="AN327" s="165"/>
      <c r="AO327" s="165"/>
      <c r="AP327" s="165"/>
      <c r="AQ327" s="165"/>
    </row>
    <row r="328" ht="12.75" customHeight="1">
      <c r="A328" s="426"/>
      <c r="B328" s="180"/>
      <c r="C328" s="180"/>
      <c r="D328" s="180"/>
      <c r="E328" s="180"/>
      <c r="F328" s="180"/>
      <c r="G328" s="180"/>
      <c r="H328" s="427"/>
      <c r="I328" s="268"/>
      <c r="J328" s="396"/>
      <c r="K328" s="396"/>
      <c r="L328" s="397"/>
      <c r="M328" s="397"/>
      <c r="N328" s="397"/>
      <c r="O328" s="397"/>
      <c r="P328" s="406"/>
      <c r="Q328" s="406"/>
      <c r="R328" s="406"/>
      <c r="S328" s="406"/>
      <c r="T328" s="160"/>
      <c r="U328" s="195"/>
      <c r="V328" s="195"/>
      <c r="W328" s="195"/>
      <c r="X328" s="195"/>
      <c r="Y328" s="181"/>
      <c r="Z328" s="163"/>
      <c r="AA328" s="365"/>
      <c r="AB328" s="365"/>
      <c r="AC328" s="365"/>
      <c r="AD328" s="165"/>
      <c r="AE328" s="165"/>
      <c r="AF328" s="165"/>
      <c r="AG328" s="165"/>
      <c r="AH328" s="165"/>
      <c r="AI328" s="165"/>
      <c r="AJ328" s="165"/>
      <c r="AK328" s="165"/>
      <c r="AL328" s="165"/>
      <c r="AM328" s="165"/>
      <c r="AN328" s="165"/>
      <c r="AO328" s="165"/>
      <c r="AP328" s="165"/>
      <c r="AQ328" s="165"/>
    </row>
    <row r="329" ht="12.75" customHeight="1">
      <c r="A329" s="426"/>
      <c r="B329" s="180"/>
      <c r="C329" s="180"/>
      <c r="D329" s="180"/>
      <c r="E329" s="180"/>
      <c r="F329" s="180"/>
      <c r="G329" s="180"/>
      <c r="H329" s="427"/>
      <c r="I329" s="268"/>
      <c r="J329" s="396"/>
      <c r="K329" s="396"/>
      <c r="L329" s="397"/>
      <c r="M329" s="397"/>
      <c r="N329" s="397"/>
      <c r="O329" s="397"/>
      <c r="P329" s="406"/>
      <c r="Q329" s="406"/>
      <c r="R329" s="406"/>
      <c r="S329" s="406"/>
      <c r="T329" s="160"/>
      <c r="U329" s="195"/>
      <c r="V329" s="195"/>
      <c r="W329" s="195"/>
      <c r="X329" s="195"/>
      <c r="Y329" s="181"/>
      <c r="Z329" s="163"/>
      <c r="AA329" s="365"/>
      <c r="AB329" s="365"/>
      <c r="AC329" s="365"/>
      <c r="AD329" s="165"/>
      <c r="AE329" s="165"/>
      <c r="AF329" s="165"/>
      <c r="AG329" s="165"/>
      <c r="AH329" s="165"/>
      <c r="AI329" s="165"/>
      <c r="AJ329" s="165"/>
      <c r="AK329" s="165"/>
      <c r="AL329" s="165"/>
      <c r="AM329" s="165"/>
      <c r="AN329" s="165"/>
      <c r="AO329" s="165"/>
      <c r="AP329" s="165"/>
      <c r="AQ329" s="165"/>
    </row>
    <row r="330" ht="12.75" customHeight="1">
      <c r="A330" s="426"/>
      <c r="B330" s="180"/>
      <c r="C330" s="180"/>
      <c r="D330" s="180"/>
      <c r="E330" s="180"/>
      <c r="F330" s="180"/>
      <c r="G330" s="180"/>
      <c r="H330" s="427"/>
      <c r="I330" s="268"/>
      <c r="J330" s="396"/>
      <c r="K330" s="396"/>
      <c r="L330" s="397"/>
      <c r="M330" s="397"/>
      <c r="N330" s="397"/>
      <c r="O330" s="397"/>
      <c r="P330" s="406"/>
      <c r="Q330" s="406"/>
      <c r="R330" s="406"/>
      <c r="S330" s="406"/>
      <c r="T330" s="160"/>
      <c r="U330" s="195"/>
      <c r="V330" s="195"/>
      <c r="W330" s="195"/>
      <c r="X330" s="195"/>
      <c r="Y330" s="181"/>
      <c r="Z330" s="163"/>
      <c r="AA330" s="365"/>
      <c r="AB330" s="365"/>
      <c r="AC330" s="365"/>
      <c r="AD330" s="165"/>
      <c r="AE330" s="165"/>
      <c r="AF330" s="165"/>
      <c r="AG330" s="165"/>
      <c r="AH330" s="165"/>
      <c r="AI330" s="165"/>
      <c r="AJ330" s="165"/>
      <c r="AK330" s="165"/>
      <c r="AL330" s="165"/>
      <c r="AM330" s="165"/>
      <c r="AN330" s="165"/>
      <c r="AO330" s="165"/>
      <c r="AP330" s="165"/>
      <c r="AQ330" s="165"/>
    </row>
    <row r="331" ht="12.75" customHeight="1">
      <c r="A331" s="426"/>
      <c r="B331" s="180"/>
      <c r="C331" s="180"/>
      <c r="D331" s="180"/>
      <c r="E331" s="180"/>
      <c r="F331" s="180"/>
      <c r="G331" s="180"/>
      <c r="H331" s="427"/>
      <c r="I331" s="268"/>
      <c r="J331" s="396"/>
      <c r="K331" s="396"/>
      <c r="L331" s="397"/>
      <c r="M331" s="397"/>
      <c r="N331" s="397"/>
      <c r="O331" s="397"/>
      <c r="P331" s="406"/>
      <c r="Q331" s="406"/>
      <c r="R331" s="406"/>
      <c r="S331" s="406"/>
      <c r="T331" s="160"/>
      <c r="U331" s="195"/>
      <c r="V331" s="195"/>
      <c r="W331" s="195"/>
      <c r="X331" s="195"/>
      <c r="Y331" s="181"/>
      <c r="Z331" s="163"/>
      <c r="AA331" s="365"/>
      <c r="AB331" s="365"/>
      <c r="AC331" s="365"/>
      <c r="AD331" s="165"/>
      <c r="AE331" s="165"/>
      <c r="AF331" s="165"/>
      <c r="AG331" s="165"/>
      <c r="AH331" s="165"/>
      <c r="AI331" s="165"/>
      <c r="AJ331" s="165"/>
      <c r="AK331" s="165"/>
      <c r="AL331" s="165"/>
      <c r="AM331" s="165"/>
      <c r="AN331" s="165"/>
      <c r="AO331" s="165"/>
      <c r="AP331" s="165"/>
      <c r="AQ331" s="165"/>
    </row>
    <row r="332" ht="12.75" customHeight="1">
      <c r="A332" s="426"/>
      <c r="B332" s="180"/>
      <c r="C332" s="180"/>
      <c r="D332" s="180"/>
      <c r="E332" s="180"/>
      <c r="F332" s="180"/>
      <c r="G332" s="180"/>
      <c r="H332" s="427"/>
      <c r="I332" s="268"/>
      <c r="J332" s="396"/>
      <c r="K332" s="396"/>
      <c r="L332" s="397"/>
      <c r="M332" s="397"/>
      <c r="N332" s="397"/>
      <c r="O332" s="397"/>
      <c r="P332" s="406"/>
      <c r="Q332" s="406"/>
      <c r="R332" s="406"/>
      <c r="S332" s="406"/>
      <c r="T332" s="160"/>
      <c r="U332" s="195"/>
      <c r="V332" s="195"/>
      <c r="W332" s="195"/>
      <c r="X332" s="195"/>
      <c r="Y332" s="181"/>
      <c r="Z332" s="163"/>
      <c r="AA332" s="365"/>
      <c r="AB332" s="365"/>
      <c r="AC332" s="365"/>
      <c r="AD332" s="165"/>
      <c r="AE332" s="165"/>
      <c r="AF332" s="165"/>
      <c r="AG332" s="165"/>
      <c r="AH332" s="165"/>
      <c r="AI332" s="165"/>
      <c r="AJ332" s="165"/>
      <c r="AK332" s="165"/>
      <c r="AL332" s="165"/>
      <c r="AM332" s="165"/>
      <c r="AN332" s="165"/>
      <c r="AO332" s="165"/>
      <c r="AP332" s="165"/>
      <c r="AQ332" s="165"/>
    </row>
    <row r="333" ht="12.75" customHeight="1">
      <c r="A333" s="426"/>
      <c r="B333" s="180"/>
      <c r="C333" s="180"/>
      <c r="D333" s="180"/>
      <c r="E333" s="180"/>
      <c r="F333" s="180"/>
      <c r="G333" s="180"/>
      <c r="H333" s="427"/>
      <c r="I333" s="268"/>
      <c r="J333" s="396"/>
      <c r="K333" s="396"/>
      <c r="L333" s="397"/>
      <c r="M333" s="397"/>
      <c r="N333" s="397"/>
      <c r="O333" s="397"/>
      <c r="P333" s="406"/>
      <c r="Q333" s="406"/>
      <c r="R333" s="406"/>
      <c r="S333" s="406"/>
      <c r="T333" s="160"/>
      <c r="U333" s="195"/>
      <c r="V333" s="195"/>
      <c r="W333" s="195"/>
      <c r="X333" s="195"/>
      <c r="Y333" s="181"/>
      <c r="Z333" s="163"/>
      <c r="AA333" s="365"/>
      <c r="AB333" s="365"/>
      <c r="AC333" s="365"/>
      <c r="AD333" s="165"/>
      <c r="AE333" s="165"/>
      <c r="AF333" s="165"/>
      <c r="AG333" s="165"/>
      <c r="AH333" s="165"/>
      <c r="AI333" s="165"/>
      <c r="AJ333" s="165"/>
      <c r="AK333" s="165"/>
      <c r="AL333" s="165"/>
      <c r="AM333" s="165"/>
      <c r="AN333" s="165"/>
      <c r="AO333" s="165"/>
      <c r="AP333" s="165"/>
      <c r="AQ333" s="165"/>
    </row>
    <row r="334" ht="12.75" customHeight="1">
      <c r="A334" s="426"/>
      <c r="B334" s="180"/>
      <c r="C334" s="180"/>
      <c r="D334" s="180"/>
      <c r="E334" s="180"/>
      <c r="F334" s="180"/>
      <c r="G334" s="180"/>
      <c r="H334" s="427"/>
      <c r="I334" s="268"/>
      <c r="J334" s="396"/>
      <c r="K334" s="396"/>
      <c r="L334" s="397"/>
      <c r="M334" s="397"/>
      <c r="N334" s="397"/>
      <c r="O334" s="397"/>
      <c r="P334" s="406"/>
      <c r="Q334" s="406"/>
      <c r="R334" s="406"/>
      <c r="S334" s="406"/>
      <c r="T334" s="160"/>
      <c r="U334" s="195"/>
      <c r="V334" s="195"/>
      <c r="W334" s="195"/>
      <c r="X334" s="195"/>
      <c r="Y334" s="181"/>
      <c r="Z334" s="163"/>
      <c r="AA334" s="365"/>
      <c r="AB334" s="365"/>
      <c r="AC334" s="365"/>
      <c r="AD334" s="165"/>
      <c r="AE334" s="165"/>
      <c r="AF334" s="165"/>
      <c r="AG334" s="165"/>
      <c r="AH334" s="165"/>
      <c r="AI334" s="165"/>
      <c r="AJ334" s="165"/>
      <c r="AK334" s="165"/>
      <c r="AL334" s="165"/>
      <c r="AM334" s="165"/>
      <c r="AN334" s="165"/>
      <c r="AO334" s="165"/>
      <c r="AP334" s="165"/>
      <c r="AQ334" s="165"/>
    </row>
    <row r="335" ht="12.75" customHeight="1">
      <c r="A335" s="426"/>
      <c r="B335" s="180"/>
      <c r="C335" s="180"/>
      <c r="D335" s="180"/>
      <c r="E335" s="180"/>
      <c r="F335" s="180"/>
      <c r="G335" s="180"/>
      <c r="H335" s="427"/>
      <c r="I335" s="268"/>
      <c r="J335" s="396"/>
      <c r="K335" s="396"/>
      <c r="L335" s="397"/>
      <c r="M335" s="397"/>
      <c r="N335" s="397"/>
      <c r="O335" s="397"/>
      <c r="P335" s="406"/>
      <c r="Q335" s="406"/>
      <c r="R335" s="406"/>
      <c r="S335" s="406"/>
      <c r="T335" s="160"/>
      <c r="U335" s="195"/>
      <c r="V335" s="195"/>
      <c r="W335" s="195"/>
      <c r="X335" s="195"/>
      <c r="Y335" s="181"/>
      <c r="Z335" s="163"/>
      <c r="AA335" s="365"/>
      <c r="AB335" s="365"/>
      <c r="AC335" s="365"/>
      <c r="AD335" s="165"/>
      <c r="AE335" s="165"/>
      <c r="AF335" s="165"/>
      <c r="AG335" s="165"/>
      <c r="AH335" s="165"/>
      <c r="AI335" s="165"/>
      <c r="AJ335" s="165"/>
      <c r="AK335" s="165"/>
      <c r="AL335" s="165"/>
      <c r="AM335" s="165"/>
      <c r="AN335" s="165"/>
      <c r="AO335" s="165"/>
      <c r="AP335" s="165"/>
      <c r="AQ335" s="165"/>
    </row>
    <row r="336" ht="12.75" customHeight="1">
      <c r="A336" s="426"/>
      <c r="B336" s="180"/>
      <c r="C336" s="180"/>
      <c r="D336" s="180"/>
      <c r="E336" s="180"/>
      <c r="F336" s="180"/>
      <c r="G336" s="180"/>
      <c r="H336" s="427"/>
      <c r="I336" s="268"/>
      <c r="J336" s="396"/>
      <c r="K336" s="396"/>
      <c r="L336" s="397"/>
      <c r="M336" s="397"/>
      <c r="N336" s="397"/>
      <c r="O336" s="397"/>
      <c r="P336" s="406"/>
      <c r="Q336" s="406"/>
      <c r="R336" s="406"/>
      <c r="S336" s="406"/>
      <c r="T336" s="160"/>
      <c r="U336" s="195"/>
      <c r="V336" s="195"/>
      <c r="W336" s="195"/>
      <c r="X336" s="195"/>
      <c r="Y336" s="181"/>
      <c r="Z336" s="163"/>
      <c r="AA336" s="365"/>
      <c r="AB336" s="365"/>
      <c r="AC336" s="365"/>
      <c r="AD336" s="165"/>
      <c r="AE336" s="165"/>
      <c r="AF336" s="165"/>
      <c r="AG336" s="165"/>
      <c r="AH336" s="165"/>
      <c r="AI336" s="165"/>
      <c r="AJ336" s="165"/>
      <c r="AK336" s="165"/>
      <c r="AL336" s="165"/>
      <c r="AM336" s="165"/>
      <c r="AN336" s="165"/>
      <c r="AO336" s="165"/>
      <c r="AP336" s="165"/>
      <c r="AQ336" s="165"/>
    </row>
    <row r="337" ht="12.75" customHeight="1">
      <c r="A337" s="426"/>
      <c r="B337" s="180"/>
      <c r="C337" s="180"/>
      <c r="D337" s="180"/>
      <c r="E337" s="180"/>
      <c r="F337" s="180"/>
      <c r="G337" s="180"/>
      <c r="H337" s="427"/>
      <c r="I337" s="268"/>
      <c r="J337" s="396"/>
      <c r="K337" s="396"/>
      <c r="L337" s="397"/>
      <c r="M337" s="397"/>
      <c r="N337" s="397"/>
      <c r="O337" s="397"/>
      <c r="P337" s="406"/>
      <c r="Q337" s="406"/>
      <c r="R337" s="406"/>
      <c r="S337" s="406"/>
      <c r="T337" s="160"/>
      <c r="U337" s="195"/>
      <c r="V337" s="195"/>
      <c r="W337" s="195"/>
      <c r="X337" s="195"/>
      <c r="Y337" s="181"/>
      <c r="Z337" s="163"/>
      <c r="AA337" s="365"/>
      <c r="AB337" s="365"/>
      <c r="AC337" s="365"/>
      <c r="AD337" s="165"/>
      <c r="AE337" s="165"/>
      <c r="AF337" s="165"/>
      <c r="AG337" s="165"/>
      <c r="AH337" s="165"/>
      <c r="AI337" s="165"/>
      <c r="AJ337" s="165"/>
      <c r="AK337" s="165"/>
      <c r="AL337" s="165"/>
      <c r="AM337" s="165"/>
      <c r="AN337" s="165"/>
      <c r="AO337" s="165"/>
      <c r="AP337" s="165"/>
      <c r="AQ337" s="165"/>
    </row>
    <row r="338" ht="12.75" customHeight="1">
      <c r="A338" s="426"/>
      <c r="B338" s="180"/>
      <c r="C338" s="180"/>
      <c r="D338" s="180"/>
      <c r="E338" s="180"/>
      <c r="F338" s="180"/>
      <c r="G338" s="180"/>
      <c r="H338" s="427"/>
      <c r="I338" s="268"/>
      <c r="J338" s="396"/>
      <c r="K338" s="396"/>
      <c r="L338" s="397"/>
      <c r="M338" s="397"/>
      <c r="N338" s="397"/>
      <c r="O338" s="397"/>
      <c r="P338" s="406"/>
      <c r="Q338" s="406"/>
      <c r="R338" s="406"/>
      <c r="S338" s="406"/>
      <c r="T338" s="160"/>
      <c r="U338" s="195"/>
      <c r="V338" s="195"/>
      <c r="W338" s="195"/>
      <c r="X338" s="195"/>
      <c r="Y338" s="181"/>
      <c r="Z338" s="163"/>
      <c r="AA338" s="365"/>
      <c r="AB338" s="365"/>
      <c r="AC338" s="365"/>
      <c r="AD338" s="165"/>
      <c r="AE338" s="165"/>
      <c r="AF338" s="165"/>
      <c r="AG338" s="165"/>
      <c r="AH338" s="165"/>
      <c r="AI338" s="165"/>
      <c r="AJ338" s="165"/>
      <c r="AK338" s="165"/>
      <c r="AL338" s="165"/>
      <c r="AM338" s="165"/>
      <c r="AN338" s="165"/>
      <c r="AO338" s="165"/>
      <c r="AP338" s="165"/>
      <c r="AQ338" s="165"/>
    </row>
    <row r="339" ht="12.75" customHeight="1">
      <c r="A339" s="426"/>
      <c r="B339" s="180"/>
      <c r="C339" s="180"/>
      <c r="D339" s="180"/>
      <c r="E339" s="180"/>
      <c r="F339" s="180"/>
      <c r="G339" s="180"/>
      <c r="H339" s="427"/>
      <c r="I339" s="268"/>
      <c r="J339" s="396"/>
      <c r="K339" s="396"/>
      <c r="L339" s="397"/>
      <c r="M339" s="397"/>
      <c r="N339" s="397"/>
      <c r="O339" s="397"/>
      <c r="P339" s="406"/>
      <c r="Q339" s="406"/>
      <c r="R339" s="406"/>
      <c r="S339" s="406"/>
      <c r="T339" s="160"/>
      <c r="U339" s="195"/>
      <c r="V339" s="195"/>
      <c r="W339" s="195"/>
      <c r="X339" s="195"/>
      <c r="Y339" s="181"/>
      <c r="Z339" s="163"/>
      <c r="AA339" s="365"/>
      <c r="AB339" s="365"/>
      <c r="AC339" s="365"/>
      <c r="AD339" s="165"/>
      <c r="AE339" s="165"/>
      <c r="AF339" s="165"/>
      <c r="AG339" s="165"/>
      <c r="AH339" s="165"/>
      <c r="AI339" s="165"/>
      <c r="AJ339" s="165"/>
      <c r="AK339" s="165"/>
      <c r="AL339" s="165"/>
      <c r="AM339" s="165"/>
      <c r="AN339" s="165"/>
      <c r="AO339" s="165"/>
      <c r="AP339" s="165"/>
      <c r="AQ339" s="165"/>
    </row>
    <row r="340" ht="12.75" customHeight="1">
      <c r="A340" s="426"/>
      <c r="B340" s="180"/>
      <c r="C340" s="180"/>
      <c r="D340" s="180"/>
      <c r="E340" s="180"/>
      <c r="F340" s="180"/>
      <c r="G340" s="180"/>
      <c r="H340" s="283"/>
      <c r="I340" s="268"/>
      <c r="J340" s="430"/>
      <c r="K340" s="430"/>
      <c r="L340" s="431"/>
      <c r="M340" s="431"/>
      <c r="N340" s="431"/>
      <c r="O340" s="431"/>
      <c r="P340" s="406"/>
      <c r="Q340" s="406"/>
      <c r="R340" s="406"/>
      <c r="S340" s="406"/>
      <c r="T340" s="160"/>
      <c r="U340" s="195"/>
      <c r="V340" s="195"/>
      <c r="W340" s="195"/>
      <c r="X340" s="195"/>
      <c r="Y340" s="181"/>
      <c r="Z340" s="163"/>
      <c r="AA340" s="365"/>
      <c r="AB340" s="365"/>
      <c r="AC340" s="365"/>
      <c r="AD340" s="165"/>
      <c r="AE340" s="165"/>
      <c r="AF340" s="165"/>
      <c r="AG340" s="165"/>
      <c r="AH340" s="165"/>
      <c r="AI340" s="165"/>
      <c r="AJ340" s="165"/>
      <c r="AK340" s="165"/>
      <c r="AL340" s="165"/>
      <c r="AM340" s="165"/>
      <c r="AN340" s="165"/>
      <c r="AO340" s="165"/>
      <c r="AP340" s="165"/>
      <c r="AQ340" s="165"/>
    </row>
    <row r="341" ht="12.75" customHeight="1">
      <c r="A341" s="426"/>
      <c r="B341" s="180"/>
      <c r="C341" s="180"/>
      <c r="D341" s="180"/>
      <c r="E341" s="180"/>
      <c r="F341" s="180"/>
      <c r="G341" s="180"/>
      <c r="H341" s="283"/>
      <c r="I341" s="268"/>
      <c r="J341" s="430"/>
      <c r="K341" s="430"/>
      <c r="L341" s="431"/>
      <c r="M341" s="431"/>
      <c r="N341" s="431"/>
      <c r="O341" s="431"/>
      <c r="P341" s="406"/>
      <c r="Q341" s="406"/>
      <c r="R341" s="406"/>
      <c r="S341" s="406"/>
      <c r="T341" s="160"/>
      <c r="U341" s="195"/>
      <c r="V341" s="195"/>
      <c r="W341" s="195"/>
      <c r="X341" s="195"/>
      <c r="Y341" s="181"/>
      <c r="Z341" s="163"/>
      <c r="AA341" s="365"/>
      <c r="AB341" s="365"/>
      <c r="AC341" s="365"/>
      <c r="AD341" s="165"/>
      <c r="AE341" s="165"/>
      <c r="AF341" s="165"/>
      <c r="AG341" s="165"/>
      <c r="AH341" s="165"/>
      <c r="AI341" s="165"/>
      <c r="AJ341" s="165"/>
      <c r="AK341" s="165"/>
      <c r="AL341" s="165"/>
      <c r="AM341" s="165"/>
      <c r="AN341" s="165"/>
      <c r="AO341" s="165"/>
      <c r="AP341" s="165"/>
      <c r="AQ341" s="165"/>
    </row>
    <row r="342" ht="12.75" customHeight="1">
      <c r="A342" s="426"/>
      <c r="B342" s="180"/>
      <c r="C342" s="180"/>
      <c r="D342" s="180"/>
      <c r="E342" s="180"/>
      <c r="F342" s="180"/>
      <c r="G342" s="180"/>
      <c r="H342" s="283"/>
      <c r="I342" s="268"/>
      <c r="J342" s="430"/>
      <c r="K342" s="430"/>
      <c r="L342" s="431"/>
      <c r="M342" s="431"/>
      <c r="N342" s="431"/>
      <c r="O342" s="431"/>
      <c r="P342" s="406"/>
      <c r="Q342" s="406"/>
      <c r="R342" s="406"/>
      <c r="S342" s="406"/>
      <c r="T342" s="160"/>
      <c r="U342" s="195"/>
      <c r="V342" s="195"/>
      <c r="W342" s="195"/>
      <c r="X342" s="195"/>
      <c r="Y342" s="181"/>
      <c r="Z342" s="163"/>
      <c r="AA342" s="365"/>
      <c r="AB342" s="365"/>
      <c r="AC342" s="365"/>
      <c r="AD342" s="165"/>
      <c r="AE342" s="165"/>
      <c r="AF342" s="165"/>
      <c r="AG342" s="165"/>
      <c r="AH342" s="165"/>
      <c r="AI342" s="165"/>
      <c r="AJ342" s="165"/>
      <c r="AK342" s="165"/>
      <c r="AL342" s="165"/>
      <c r="AM342" s="165"/>
      <c r="AN342" s="165"/>
      <c r="AO342" s="165"/>
      <c r="AP342" s="165"/>
      <c r="AQ342" s="165"/>
    </row>
    <row r="343" ht="12.75" customHeight="1">
      <c r="A343" s="426"/>
      <c r="B343" s="180"/>
      <c r="C343" s="180"/>
      <c r="D343" s="180"/>
      <c r="E343" s="180"/>
      <c r="F343" s="180"/>
      <c r="G343" s="180"/>
      <c r="H343" s="283"/>
      <c r="I343" s="268"/>
      <c r="J343" s="430"/>
      <c r="K343" s="430"/>
      <c r="L343" s="431"/>
      <c r="M343" s="431"/>
      <c r="N343" s="431"/>
      <c r="O343" s="431"/>
      <c r="P343" s="406"/>
      <c r="Q343" s="406"/>
      <c r="R343" s="406"/>
      <c r="S343" s="406"/>
      <c r="T343" s="160"/>
      <c r="U343" s="195"/>
      <c r="V343" s="195"/>
      <c r="W343" s="195"/>
      <c r="X343" s="195"/>
      <c r="Y343" s="181"/>
      <c r="Z343" s="163"/>
      <c r="AA343" s="365"/>
      <c r="AB343" s="365"/>
      <c r="AC343" s="365"/>
      <c r="AD343" s="165"/>
      <c r="AE343" s="165"/>
      <c r="AF343" s="165"/>
      <c r="AG343" s="165"/>
      <c r="AH343" s="165"/>
      <c r="AI343" s="165"/>
      <c r="AJ343" s="165"/>
      <c r="AK343" s="165"/>
      <c r="AL343" s="165"/>
      <c r="AM343" s="165"/>
      <c r="AN343" s="165"/>
      <c r="AO343" s="165"/>
      <c r="AP343" s="165"/>
      <c r="AQ343" s="165"/>
    </row>
    <row r="344" ht="12.75" customHeight="1">
      <c r="A344" s="426"/>
      <c r="B344" s="180"/>
      <c r="C344" s="180"/>
      <c r="D344" s="180"/>
      <c r="E344" s="180"/>
      <c r="F344" s="180"/>
      <c r="G344" s="180"/>
      <c r="H344" s="283"/>
      <c r="I344" s="268"/>
      <c r="J344" s="430"/>
      <c r="K344" s="430"/>
      <c r="L344" s="431"/>
      <c r="M344" s="431"/>
      <c r="N344" s="431"/>
      <c r="O344" s="431"/>
      <c r="P344" s="406"/>
      <c r="Q344" s="406"/>
      <c r="R344" s="406"/>
      <c r="S344" s="406"/>
      <c r="T344" s="160"/>
      <c r="U344" s="195"/>
      <c r="V344" s="195"/>
      <c r="W344" s="195"/>
      <c r="X344" s="195"/>
      <c r="Y344" s="181"/>
      <c r="Z344" s="163"/>
      <c r="AA344" s="365"/>
      <c r="AB344" s="365"/>
      <c r="AC344" s="365"/>
      <c r="AD344" s="165"/>
      <c r="AE344" s="165"/>
      <c r="AF344" s="165"/>
      <c r="AG344" s="165"/>
      <c r="AH344" s="165"/>
      <c r="AI344" s="165"/>
      <c r="AJ344" s="165"/>
      <c r="AK344" s="165"/>
      <c r="AL344" s="165"/>
      <c r="AM344" s="165"/>
      <c r="AN344" s="165"/>
      <c r="AO344" s="165"/>
      <c r="AP344" s="165"/>
      <c r="AQ344" s="165"/>
    </row>
    <row r="345" ht="12.75" customHeight="1">
      <c r="A345" s="426"/>
      <c r="B345" s="180"/>
      <c r="C345" s="180"/>
      <c r="D345" s="180"/>
      <c r="E345" s="180"/>
      <c r="F345" s="180"/>
      <c r="G345" s="180"/>
      <c r="H345" s="283"/>
      <c r="I345" s="268"/>
      <c r="J345" s="430"/>
      <c r="K345" s="430"/>
      <c r="L345" s="431"/>
      <c r="M345" s="431"/>
      <c r="N345" s="431"/>
      <c r="O345" s="431"/>
      <c r="P345" s="406"/>
      <c r="Q345" s="406"/>
      <c r="R345" s="406"/>
      <c r="S345" s="406"/>
      <c r="T345" s="160"/>
      <c r="U345" s="195"/>
      <c r="V345" s="195"/>
      <c r="W345" s="195"/>
      <c r="X345" s="195"/>
      <c r="Y345" s="181"/>
      <c r="Z345" s="163"/>
      <c r="AA345" s="365"/>
      <c r="AB345" s="365"/>
      <c r="AC345" s="365"/>
      <c r="AD345" s="165"/>
      <c r="AE345" s="165"/>
      <c r="AF345" s="165"/>
      <c r="AG345" s="165"/>
      <c r="AH345" s="165"/>
      <c r="AI345" s="165"/>
      <c r="AJ345" s="165"/>
      <c r="AK345" s="165"/>
      <c r="AL345" s="165"/>
      <c r="AM345" s="165"/>
      <c r="AN345" s="165"/>
      <c r="AO345" s="165"/>
      <c r="AP345" s="165"/>
      <c r="AQ345" s="165"/>
    </row>
    <row r="346" ht="12.75" customHeight="1">
      <c r="A346" s="426"/>
      <c r="B346" s="180"/>
      <c r="C346" s="180"/>
      <c r="D346" s="180"/>
      <c r="E346" s="180"/>
      <c r="F346" s="180"/>
      <c r="G346" s="180"/>
      <c r="H346" s="283"/>
      <c r="I346" s="268"/>
      <c r="J346" s="430"/>
      <c r="K346" s="430"/>
      <c r="L346" s="431"/>
      <c r="M346" s="431"/>
      <c r="N346" s="431"/>
      <c r="O346" s="431"/>
      <c r="P346" s="406"/>
      <c r="Q346" s="406"/>
      <c r="R346" s="406"/>
      <c r="S346" s="406"/>
      <c r="T346" s="160"/>
      <c r="U346" s="195"/>
      <c r="V346" s="195"/>
      <c r="W346" s="195"/>
      <c r="X346" s="195"/>
      <c r="Y346" s="181"/>
      <c r="Z346" s="163"/>
      <c r="AA346" s="365"/>
      <c r="AB346" s="365"/>
      <c r="AC346" s="365"/>
      <c r="AD346" s="165"/>
      <c r="AE346" s="165"/>
      <c r="AF346" s="165"/>
      <c r="AG346" s="165"/>
      <c r="AH346" s="165"/>
      <c r="AI346" s="165"/>
      <c r="AJ346" s="165"/>
      <c r="AK346" s="165"/>
      <c r="AL346" s="165"/>
      <c r="AM346" s="165"/>
      <c r="AN346" s="165"/>
      <c r="AO346" s="165"/>
      <c r="AP346" s="165"/>
      <c r="AQ346" s="165"/>
    </row>
    <row r="347" ht="12.75" customHeight="1">
      <c r="A347" s="426"/>
      <c r="B347" s="180"/>
      <c r="C347" s="180"/>
      <c r="D347" s="180"/>
      <c r="E347" s="180"/>
      <c r="F347" s="180"/>
      <c r="G347" s="180"/>
      <c r="H347" s="283"/>
      <c r="I347" s="268"/>
      <c r="J347" s="430"/>
      <c r="K347" s="430"/>
      <c r="L347" s="431"/>
      <c r="M347" s="431"/>
      <c r="N347" s="431"/>
      <c r="O347" s="431"/>
      <c r="P347" s="406"/>
      <c r="Q347" s="406"/>
      <c r="R347" s="406"/>
      <c r="S347" s="406"/>
      <c r="T347" s="160"/>
      <c r="U347" s="195"/>
      <c r="V347" s="195"/>
      <c r="W347" s="195"/>
      <c r="X347" s="195"/>
      <c r="Y347" s="181"/>
      <c r="Z347" s="163"/>
      <c r="AA347" s="365"/>
      <c r="AB347" s="365"/>
      <c r="AC347" s="365"/>
      <c r="AD347" s="165"/>
      <c r="AE347" s="165"/>
      <c r="AF347" s="165"/>
      <c r="AG347" s="165"/>
      <c r="AH347" s="165"/>
      <c r="AI347" s="165"/>
      <c r="AJ347" s="165"/>
      <c r="AK347" s="165"/>
      <c r="AL347" s="165"/>
      <c r="AM347" s="165"/>
      <c r="AN347" s="165"/>
      <c r="AO347" s="165"/>
      <c r="AP347" s="165"/>
      <c r="AQ347" s="165"/>
    </row>
    <row r="348" ht="12.75" customHeight="1">
      <c r="A348" s="426"/>
      <c r="B348" s="180"/>
      <c r="C348" s="180"/>
      <c r="D348" s="180"/>
      <c r="E348" s="180"/>
      <c r="F348" s="180"/>
      <c r="G348" s="180"/>
      <c r="H348" s="283"/>
      <c r="I348" s="268"/>
      <c r="J348" s="430"/>
      <c r="K348" s="430"/>
      <c r="L348" s="431"/>
      <c r="M348" s="431"/>
      <c r="N348" s="431"/>
      <c r="O348" s="431"/>
      <c r="P348" s="406"/>
      <c r="Q348" s="406"/>
      <c r="R348" s="406"/>
      <c r="S348" s="406"/>
      <c r="T348" s="160"/>
      <c r="U348" s="195"/>
      <c r="V348" s="195"/>
      <c r="W348" s="195"/>
      <c r="X348" s="195"/>
      <c r="Y348" s="181"/>
      <c r="Z348" s="163"/>
      <c r="AA348" s="365"/>
      <c r="AB348" s="365"/>
      <c r="AC348" s="365"/>
      <c r="AD348" s="165"/>
      <c r="AE348" s="165"/>
      <c r="AF348" s="165"/>
      <c r="AG348" s="165"/>
      <c r="AH348" s="165"/>
      <c r="AI348" s="165"/>
      <c r="AJ348" s="165"/>
      <c r="AK348" s="165"/>
      <c r="AL348" s="165"/>
      <c r="AM348" s="165"/>
      <c r="AN348" s="165"/>
      <c r="AO348" s="165"/>
      <c r="AP348" s="165"/>
      <c r="AQ348" s="165"/>
    </row>
    <row r="349" ht="12.75" customHeight="1">
      <c r="A349" s="426"/>
      <c r="B349" s="180"/>
      <c r="C349" s="180"/>
      <c r="D349" s="180"/>
      <c r="E349" s="180"/>
      <c r="F349" s="180"/>
      <c r="G349" s="180"/>
      <c r="H349" s="283"/>
      <c r="I349" s="268"/>
      <c r="J349" s="430"/>
      <c r="K349" s="430"/>
      <c r="L349" s="431"/>
      <c r="M349" s="431"/>
      <c r="N349" s="431"/>
      <c r="O349" s="431"/>
      <c r="P349" s="406"/>
      <c r="Q349" s="406"/>
      <c r="R349" s="406"/>
      <c r="S349" s="406"/>
      <c r="T349" s="160"/>
      <c r="U349" s="195"/>
      <c r="V349" s="195"/>
      <c r="W349" s="195"/>
      <c r="X349" s="195"/>
      <c r="Y349" s="181"/>
      <c r="Z349" s="163"/>
      <c r="AA349" s="365"/>
      <c r="AB349" s="365"/>
      <c r="AC349" s="365"/>
      <c r="AD349" s="165"/>
      <c r="AE349" s="165"/>
      <c r="AF349" s="165"/>
      <c r="AG349" s="165"/>
      <c r="AH349" s="165"/>
      <c r="AI349" s="165"/>
      <c r="AJ349" s="165"/>
      <c r="AK349" s="165"/>
      <c r="AL349" s="165"/>
      <c r="AM349" s="165"/>
      <c r="AN349" s="165"/>
      <c r="AO349" s="165"/>
      <c r="AP349" s="165"/>
      <c r="AQ349" s="165"/>
    </row>
    <row r="350" ht="12.75" customHeight="1">
      <c r="A350" s="426"/>
      <c r="B350" s="180"/>
      <c r="C350" s="180"/>
      <c r="D350" s="180"/>
      <c r="E350" s="180"/>
      <c r="F350" s="180"/>
      <c r="G350" s="180"/>
      <c r="H350" s="283"/>
      <c r="I350" s="268"/>
      <c r="J350" s="430"/>
      <c r="K350" s="430"/>
      <c r="L350" s="431"/>
      <c r="M350" s="431"/>
      <c r="N350" s="431"/>
      <c r="O350" s="431"/>
      <c r="P350" s="406"/>
      <c r="Q350" s="406"/>
      <c r="R350" s="406"/>
      <c r="S350" s="406"/>
      <c r="T350" s="160"/>
      <c r="U350" s="195"/>
      <c r="V350" s="195"/>
      <c r="W350" s="195"/>
      <c r="X350" s="195"/>
      <c r="Y350" s="181"/>
      <c r="Z350" s="163"/>
      <c r="AA350" s="365"/>
      <c r="AB350" s="365"/>
      <c r="AC350" s="365"/>
      <c r="AD350" s="165"/>
      <c r="AE350" s="165"/>
      <c r="AF350" s="165"/>
      <c r="AG350" s="165"/>
      <c r="AH350" s="165"/>
      <c r="AI350" s="165"/>
      <c r="AJ350" s="165"/>
      <c r="AK350" s="165"/>
      <c r="AL350" s="165"/>
      <c r="AM350" s="165"/>
      <c r="AN350" s="165"/>
      <c r="AO350" s="165"/>
      <c r="AP350" s="165"/>
      <c r="AQ350" s="165"/>
    </row>
    <row r="351" ht="12.75" customHeight="1">
      <c r="A351" s="426"/>
      <c r="B351" s="180"/>
      <c r="C351" s="180"/>
      <c r="D351" s="180"/>
      <c r="E351" s="180"/>
      <c r="F351" s="180"/>
      <c r="G351" s="180"/>
      <c r="H351" s="283"/>
      <c r="I351" s="268"/>
      <c r="J351" s="430"/>
      <c r="K351" s="430"/>
      <c r="L351" s="431"/>
      <c r="M351" s="431"/>
      <c r="N351" s="431"/>
      <c r="O351" s="431"/>
      <c r="P351" s="406"/>
      <c r="Q351" s="406"/>
      <c r="R351" s="406"/>
      <c r="S351" s="406"/>
      <c r="T351" s="160"/>
      <c r="U351" s="195"/>
      <c r="V351" s="195"/>
      <c r="W351" s="195"/>
      <c r="X351" s="195"/>
      <c r="Y351" s="181"/>
      <c r="Z351" s="163"/>
      <c r="AA351" s="365"/>
      <c r="AB351" s="365"/>
      <c r="AC351" s="365"/>
      <c r="AD351" s="165"/>
      <c r="AE351" s="165"/>
      <c r="AF351" s="165"/>
      <c r="AG351" s="165"/>
      <c r="AH351" s="165"/>
      <c r="AI351" s="165"/>
      <c r="AJ351" s="165"/>
      <c r="AK351" s="165"/>
      <c r="AL351" s="165"/>
      <c r="AM351" s="165"/>
      <c r="AN351" s="165"/>
      <c r="AO351" s="165"/>
      <c r="AP351" s="165"/>
      <c r="AQ351" s="165"/>
    </row>
    <row r="352" ht="12.75" customHeight="1">
      <c r="A352" s="426"/>
      <c r="B352" s="180"/>
      <c r="C352" s="180"/>
      <c r="D352" s="180"/>
      <c r="E352" s="180"/>
      <c r="F352" s="180"/>
      <c r="G352" s="180"/>
      <c r="H352" s="283"/>
      <c r="I352" s="268"/>
      <c r="J352" s="430"/>
      <c r="K352" s="430"/>
      <c r="L352" s="431"/>
      <c r="M352" s="431"/>
      <c r="N352" s="431"/>
      <c r="O352" s="431"/>
      <c r="P352" s="406"/>
      <c r="Q352" s="406"/>
      <c r="R352" s="406"/>
      <c r="S352" s="406"/>
      <c r="T352" s="160"/>
      <c r="U352" s="195"/>
      <c r="V352" s="195"/>
      <c r="W352" s="195"/>
      <c r="X352" s="195"/>
      <c r="Y352" s="181"/>
      <c r="Z352" s="163"/>
      <c r="AA352" s="365"/>
      <c r="AB352" s="365"/>
      <c r="AC352" s="365"/>
      <c r="AD352" s="165"/>
      <c r="AE352" s="165"/>
      <c r="AF352" s="165"/>
      <c r="AG352" s="165"/>
      <c r="AH352" s="165"/>
      <c r="AI352" s="165"/>
      <c r="AJ352" s="165"/>
      <c r="AK352" s="165"/>
      <c r="AL352" s="165"/>
      <c r="AM352" s="165"/>
      <c r="AN352" s="165"/>
      <c r="AO352" s="165"/>
      <c r="AP352" s="165"/>
      <c r="AQ352" s="165"/>
    </row>
    <row r="353" ht="12.75" customHeight="1">
      <c r="A353" s="426"/>
      <c r="B353" s="180"/>
      <c r="C353" s="180"/>
      <c r="D353" s="180"/>
      <c r="E353" s="180"/>
      <c r="F353" s="180"/>
      <c r="G353" s="180"/>
      <c r="H353" s="283"/>
      <c r="I353" s="268"/>
      <c r="J353" s="430"/>
      <c r="K353" s="430"/>
      <c r="L353" s="431"/>
      <c r="M353" s="431"/>
      <c r="N353" s="431"/>
      <c r="O353" s="431"/>
      <c r="P353" s="406"/>
      <c r="Q353" s="406"/>
      <c r="R353" s="406"/>
      <c r="S353" s="406"/>
      <c r="T353" s="160"/>
      <c r="U353" s="195"/>
      <c r="V353" s="195"/>
      <c r="W353" s="195"/>
      <c r="X353" s="195"/>
      <c r="Y353" s="181"/>
      <c r="Z353" s="163"/>
      <c r="AA353" s="365"/>
      <c r="AB353" s="365"/>
      <c r="AC353" s="365"/>
      <c r="AD353" s="165"/>
      <c r="AE353" s="165"/>
      <c r="AF353" s="165"/>
      <c r="AG353" s="165"/>
      <c r="AH353" s="165"/>
      <c r="AI353" s="165"/>
      <c r="AJ353" s="165"/>
      <c r="AK353" s="165"/>
      <c r="AL353" s="165"/>
      <c r="AM353" s="165"/>
      <c r="AN353" s="165"/>
      <c r="AO353" s="165"/>
      <c r="AP353" s="165"/>
      <c r="AQ353" s="165"/>
    </row>
    <row r="354" ht="12.75" customHeight="1">
      <c r="A354" s="426"/>
      <c r="B354" s="180"/>
      <c r="C354" s="180"/>
      <c r="D354" s="180"/>
      <c r="E354" s="180"/>
      <c r="F354" s="180"/>
      <c r="G354" s="180"/>
      <c r="H354" s="283"/>
      <c r="I354" s="268"/>
      <c r="J354" s="430"/>
      <c r="K354" s="430"/>
      <c r="L354" s="431"/>
      <c r="M354" s="431"/>
      <c r="N354" s="431"/>
      <c r="O354" s="431"/>
      <c r="P354" s="406"/>
      <c r="Q354" s="406"/>
      <c r="R354" s="406"/>
      <c r="S354" s="406"/>
      <c r="T354" s="160"/>
      <c r="U354" s="195"/>
      <c r="V354" s="195"/>
      <c r="W354" s="195"/>
      <c r="X354" s="195"/>
      <c r="Y354" s="181"/>
      <c r="Z354" s="163"/>
      <c r="AA354" s="365"/>
      <c r="AB354" s="365"/>
      <c r="AC354" s="365"/>
      <c r="AD354" s="165"/>
      <c r="AE354" s="165"/>
      <c r="AF354" s="165"/>
      <c r="AG354" s="165"/>
      <c r="AH354" s="165"/>
      <c r="AI354" s="165"/>
      <c r="AJ354" s="165"/>
      <c r="AK354" s="165"/>
      <c r="AL354" s="165"/>
      <c r="AM354" s="165"/>
      <c r="AN354" s="165"/>
      <c r="AO354" s="165"/>
      <c r="AP354" s="165"/>
      <c r="AQ354" s="165"/>
    </row>
    <row r="355" ht="12.75" customHeight="1">
      <c r="A355" s="426"/>
      <c r="B355" s="180"/>
      <c r="C355" s="180"/>
      <c r="D355" s="180"/>
      <c r="E355" s="180"/>
      <c r="F355" s="180"/>
      <c r="G355" s="180"/>
      <c r="H355" s="283"/>
      <c r="I355" s="268"/>
      <c r="J355" s="430"/>
      <c r="K355" s="430"/>
      <c r="L355" s="431"/>
      <c r="M355" s="431"/>
      <c r="N355" s="431"/>
      <c r="O355" s="431"/>
      <c r="P355" s="406"/>
      <c r="Q355" s="406"/>
      <c r="R355" s="406"/>
      <c r="S355" s="406"/>
      <c r="T355" s="160"/>
      <c r="U355" s="195"/>
      <c r="V355" s="195"/>
      <c r="W355" s="195"/>
      <c r="X355" s="195"/>
      <c r="Y355" s="181"/>
      <c r="Z355" s="163"/>
      <c r="AA355" s="365"/>
      <c r="AB355" s="365"/>
      <c r="AC355" s="365"/>
      <c r="AD355" s="165"/>
      <c r="AE355" s="165"/>
      <c r="AF355" s="165"/>
      <c r="AG355" s="165"/>
      <c r="AH355" s="165"/>
      <c r="AI355" s="165"/>
      <c r="AJ355" s="165"/>
      <c r="AK355" s="165"/>
      <c r="AL355" s="165"/>
      <c r="AM355" s="165"/>
      <c r="AN355" s="165"/>
      <c r="AO355" s="165"/>
      <c r="AP355" s="165"/>
      <c r="AQ355" s="165"/>
    </row>
    <row r="356" ht="12.75" customHeight="1">
      <c r="A356" s="426"/>
      <c r="B356" s="180"/>
      <c r="C356" s="180"/>
      <c r="D356" s="180"/>
      <c r="E356" s="180"/>
      <c r="F356" s="180"/>
      <c r="G356" s="180"/>
      <c r="H356" s="283"/>
      <c r="I356" s="268"/>
      <c r="J356" s="430"/>
      <c r="K356" s="430"/>
      <c r="L356" s="431"/>
      <c r="M356" s="431"/>
      <c r="N356" s="431"/>
      <c r="O356" s="431"/>
      <c r="P356" s="406"/>
      <c r="Q356" s="406"/>
      <c r="R356" s="406"/>
      <c r="S356" s="406"/>
      <c r="T356" s="160"/>
      <c r="U356" s="195"/>
      <c r="V356" s="195"/>
      <c r="W356" s="195"/>
      <c r="X356" s="195"/>
      <c r="Y356" s="181"/>
      <c r="Z356" s="163"/>
      <c r="AA356" s="365"/>
      <c r="AB356" s="365"/>
      <c r="AC356" s="365"/>
      <c r="AD356" s="165"/>
      <c r="AE356" s="165"/>
      <c r="AF356" s="165"/>
      <c r="AG356" s="165"/>
      <c r="AH356" s="165"/>
      <c r="AI356" s="165"/>
      <c r="AJ356" s="165"/>
      <c r="AK356" s="165"/>
      <c r="AL356" s="165"/>
      <c r="AM356" s="165"/>
      <c r="AN356" s="165"/>
      <c r="AO356" s="165"/>
      <c r="AP356" s="165"/>
      <c r="AQ356" s="165"/>
    </row>
    <row r="357" ht="12.75" customHeight="1">
      <c r="A357" s="426"/>
      <c r="B357" s="180"/>
      <c r="C357" s="180"/>
      <c r="D357" s="180"/>
      <c r="E357" s="180"/>
      <c r="F357" s="180"/>
      <c r="G357" s="180"/>
      <c r="H357" s="283"/>
      <c r="I357" s="268"/>
      <c r="J357" s="430"/>
      <c r="K357" s="430"/>
      <c r="L357" s="431"/>
      <c r="M357" s="431"/>
      <c r="N357" s="431"/>
      <c r="O357" s="431"/>
      <c r="P357" s="406"/>
      <c r="Q357" s="406"/>
      <c r="R357" s="406"/>
      <c r="S357" s="406"/>
      <c r="T357" s="160"/>
      <c r="U357" s="195"/>
      <c r="V357" s="195"/>
      <c r="W357" s="195"/>
      <c r="X357" s="195"/>
      <c r="Y357" s="181"/>
      <c r="Z357" s="163"/>
      <c r="AA357" s="365"/>
      <c r="AB357" s="365"/>
      <c r="AC357" s="365"/>
      <c r="AD357" s="165"/>
      <c r="AE357" s="165"/>
      <c r="AF357" s="165"/>
      <c r="AG357" s="165"/>
      <c r="AH357" s="165"/>
      <c r="AI357" s="165"/>
      <c r="AJ357" s="165"/>
      <c r="AK357" s="165"/>
      <c r="AL357" s="165"/>
      <c r="AM357" s="165"/>
      <c r="AN357" s="165"/>
      <c r="AO357" s="165"/>
      <c r="AP357" s="165"/>
      <c r="AQ357" s="165"/>
    </row>
    <row r="358" ht="12.75" customHeight="1">
      <c r="A358" s="426"/>
      <c r="B358" s="180"/>
      <c r="C358" s="180"/>
      <c r="D358" s="180"/>
      <c r="E358" s="180"/>
      <c r="F358" s="180"/>
      <c r="G358" s="180"/>
      <c r="H358" s="283"/>
      <c r="I358" s="268"/>
      <c r="J358" s="430"/>
      <c r="K358" s="430"/>
      <c r="L358" s="431"/>
      <c r="M358" s="431"/>
      <c r="N358" s="431"/>
      <c r="O358" s="431"/>
      <c r="P358" s="406"/>
      <c r="Q358" s="406"/>
      <c r="R358" s="406"/>
      <c r="S358" s="406"/>
      <c r="T358" s="160"/>
      <c r="U358" s="195"/>
      <c r="V358" s="195"/>
      <c r="W358" s="195"/>
      <c r="X358" s="195"/>
      <c r="Y358" s="181"/>
      <c r="Z358" s="163"/>
      <c r="AA358" s="365"/>
      <c r="AB358" s="365"/>
      <c r="AC358" s="365"/>
      <c r="AD358" s="165"/>
      <c r="AE358" s="165"/>
      <c r="AF358" s="165"/>
      <c r="AG358" s="165"/>
      <c r="AH358" s="165"/>
      <c r="AI358" s="165"/>
      <c r="AJ358" s="165"/>
      <c r="AK358" s="165"/>
      <c r="AL358" s="165"/>
      <c r="AM358" s="165"/>
      <c r="AN358" s="165"/>
      <c r="AO358" s="165"/>
      <c r="AP358" s="165"/>
      <c r="AQ358" s="165"/>
    </row>
    <row r="359" ht="12.75" customHeight="1">
      <c r="A359" s="426"/>
      <c r="B359" s="180"/>
      <c r="C359" s="180"/>
      <c r="D359" s="180"/>
      <c r="E359" s="180"/>
      <c r="F359" s="180"/>
      <c r="G359" s="180"/>
      <c r="H359" s="283"/>
      <c r="I359" s="268"/>
      <c r="J359" s="430"/>
      <c r="K359" s="430"/>
      <c r="L359" s="431"/>
      <c r="M359" s="431"/>
      <c r="N359" s="431"/>
      <c r="O359" s="431"/>
      <c r="P359" s="406"/>
      <c r="Q359" s="406"/>
      <c r="R359" s="406"/>
      <c r="S359" s="406"/>
      <c r="T359" s="160"/>
      <c r="U359" s="195"/>
      <c r="V359" s="195"/>
      <c r="W359" s="195"/>
      <c r="X359" s="195"/>
      <c r="Y359" s="181"/>
      <c r="Z359" s="163"/>
      <c r="AA359" s="365"/>
      <c r="AB359" s="365"/>
      <c r="AC359" s="365"/>
      <c r="AD359" s="165"/>
      <c r="AE359" s="165"/>
      <c r="AF359" s="165"/>
      <c r="AG359" s="165"/>
      <c r="AH359" s="165"/>
      <c r="AI359" s="165"/>
      <c r="AJ359" s="165"/>
      <c r="AK359" s="165"/>
      <c r="AL359" s="165"/>
      <c r="AM359" s="165"/>
      <c r="AN359" s="165"/>
      <c r="AO359" s="165"/>
      <c r="AP359" s="165"/>
      <c r="AQ359" s="165"/>
    </row>
    <row r="360" ht="12.75" customHeight="1">
      <c r="A360" s="426"/>
      <c r="B360" s="180"/>
      <c r="C360" s="180"/>
      <c r="D360" s="180"/>
      <c r="E360" s="180"/>
      <c r="F360" s="180"/>
      <c r="G360" s="180"/>
      <c r="H360" s="283"/>
      <c r="I360" s="268"/>
      <c r="J360" s="430"/>
      <c r="K360" s="430"/>
      <c r="L360" s="431"/>
      <c r="M360" s="431"/>
      <c r="N360" s="431"/>
      <c r="O360" s="431"/>
      <c r="P360" s="406"/>
      <c r="Q360" s="406"/>
      <c r="R360" s="406"/>
      <c r="S360" s="406"/>
      <c r="T360" s="160"/>
      <c r="U360" s="195"/>
      <c r="V360" s="195"/>
      <c r="W360" s="195"/>
      <c r="X360" s="195"/>
      <c r="Y360" s="181"/>
      <c r="Z360" s="163"/>
      <c r="AA360" s="365"/>
      <c r="AB360" s="365"/>
      <c r="AC360" s="365"/>
      <c r="AD360" s="165"/>
      <c r="AE360" s="165"/>
      <c r="AF360" s="165"/>
      <c r="AG360" s="165"/>
      <c r="AH360" s="165"/>
      <c r="AI360" s="165"/>
      <c r="AJ360" s="165"/>
      <c r="AK360" s="165"/>
      <c r="AL360" s="165"/>
      <c r="AM360" s="165"/>
      <c r="AN360" s="165"/>
      <c r="AO360" s="165"/>
      <c r="AP360" s="165"/>
      <c r="AQ360" s="165"/>
    </row>
    <row r="361" ht="12.75" customHeight="1">
      <c r="A361" s="426"/>
      <c r="B361" s="180"/>
      <c r="C361" s="180"/>
      <c r="D361" s="180"/>
      <c r="E361" s="180"/>
      <c r="F361" s="180"/>
      <c r="G361" s="180"/>
      <c r="H361" s="283"/>
      <c r="I361" s="268"/>
      <c r="J361" s="430"/>
      <c r="K361" s="430"/>
      <c r="L361" s="431"/>
      <c r="M361" s="431"/>
      <c r="N361" s="431"/>
      <c r="O361" s="431"/>
      <c r="P361" s="406"/>
      <c r="Q361" s="406"/>
      <c r="R361" s="406"/>
      <c r="S361" s="406"/>
      <c r="T361" s="160"/>
      <c r="U361" s="195"/>
      <c r="V361" s="195"/>
      <c r="W361" s="195"/>
      <c r="X361" s="195"/>
      <c r="Y361" s="181"/>
      <c r="Z361" s="163"/>
      <c r="AA361" s="365"/>
      <c r="AB361" s="365"/>
      <c r="AC361" s="365"/>
      <c r="AD361" s="165"/>
      <c r="AE361" s="165"/>
      <c r="AF361" s="165"/>
      <c r="AG361" s="165"/>
      <c r="AH361" s="165"/>
      <c r="AI361" s="165"/>
      <c r="AJ361" s="165"/>
      <c r="AK361" s="165"/>
      <c r="AL361" s="165"/>
      <c r="AM361" s="165"/>
      <c r="AN361" s="165"/>
      <c r="AO361" s="165"/>
      <c r="AP361" s="165"/>
      <c r="AQ361" s="165"/>
    </row>
    <row r="362" ht="12.75" customHeight="1">
      <c r="A362" s="426"/>
      <c r="B362" s="180"/>
      <c r="C362" s="180"/>
      <c r="D362" s="180"/>
      <c r="E362" s="180"/>
      <c r="F362" s="180"/>
      <c r="G362" s="180"/>
      <c r="H362" s="283"/>
      <c r="I362" s="268"/>
      <c r="J362" s="430"/>
      <c r="K362" s="430"/>
      <c r="L362" s="431"/>
      <c r="M362" s="431"/>
      <c r="N362" s="431"/>
      <c r="O362" s="431"/>
      <c r="P362" s="406"/>
      <c r="Q362" s="406"/>
      <c r="R362" s="406"/>
      <c r="S362" s="406"/>
      <c r="T362" s="160"/>
      <c r="U362" s="195"/>
      <c r="V362" s="195"/>
      <c r="W362" s="195"/>
      <c r="X362" s="195"/>
      <c r="Y362" s="181"/>
      <c r="Z362" s="163"/>
      <c r="AA362" s="365"/>
      <c r="AB362" s="365"/>
      <c r="AC362" s="365"/>
      <c r="AD362" s="165"/>
      <c r="AE362" s="165"/>
      <c r="AF362" s="165"/>
      <c r="AG362" s="165"/>
      <c r="AH362" s="165"/>
      <c r="AI362" s="165"/>
      <c r="AJ362" s="165"/>
      <c r="AK362" s="165"/>
      <c r="AL362" s="165"/>
      <c r="AM362" s="165"/>
      <c r="AN362" s="165"/>
      <c r="AO362" s="165"/>
      <c r="AP362" s="165"/>
      <c r="AQ362" s="165"/>
    </row>
    <row r="363" ht="12.75" customHeight="1">
      <c r="A363" s="426"/>
      <c r="B363" s="180"/>
      <c r="C363" s="180"/>
      <c r="D363" s="180"/>
      <c r="E363" s="180"/>
      <c r="F363" s="180"/>
      <c r="G363" s="180"/>
      <c r="H363" s="283"/>
      <c r="I363" s="268"/>
      <c r="J363" s="430"/>
      <c r="K363" s="430"/>
      <c r="L363" s="431"/>
      <c r="M363" s="431"/>
      <c r="N363" s="431"/>
      <c r="O363" s="431"/>
      <c r="P363" s="406"/>
      <c r="Q363" s="406"/>
      <c r="R363" s="406"/>
      <c r="S363" s="406"/>
      <c r="T363" s="160"/>
      <c r="U363" s="195"/>
      <c r="V363" s="195"/>
      <c r="W363" s="195"/>
      <c r="X363" s="195"/>
      <c r="Y363" s="181"/>
      <c r="Z363" s="163"/>
      <c r="AA363" s="365"/>
      <c r="AB363" s="365"/>
      <c r="AC363" s="365"/>
      <c r="AD363" s="165"/>
      <c r="AE363" s="165"/>
      <c r="AF363" s="165"/>
      <c r="AG363" s="165"/>
      <c r="AH363" s="165"/>
      <c r="AI363" s="165"/>
      <c r="AJ363" s="165"/>
      <c r="AK363" s="165"/>
      <c r="AL363" s="165"/>
      <c r="AM363" s="165"/>
      <c r="AN363" s="165"/>
      <c r="AO363" s="165"/>
      <c r="AP363" s="165"/>
      <c r="AQ363" s="165"/>
    </row>
    <row r="364" ht="12.75" customHeight="1">
      <c r="A364" s="426"/>
      <c r="B364" s="180"/>
      <c r="C364" s="180"/>
      <c r="D364" s="180"/>
      <c r="E364" s="180"/>
      <c r="F364" s="180"/>
      <c r="G364" s="180"/>
      <c r="H364" s="283"/>
      <c r="I364" s="268"/>
      <c r="J364" s="430"/>
      <c r="K364" s="430"/>
      <c r="L364" s="431"/>
      <c r="M364" s="431"/>
      <c r="N364" s="431"/>
      <c r="O364" s="431"/>
      <c r="P364" s="406"/>
      <c r="Q364" s="406"/>
      <c r="R364" s="406"/>
      <c r="S364" s="406"/>
      <c r="T364" s="160"/>
      <c r="U364" s="195"/>
      <c r="V364" s="195"/>
      <c r="W364" s="195"/>
      <c r="X364" s="195"/>
      <c r="Y364" s="181"/>
      <c r="Z364" s="163"/>
      <c r="AA364" s="365"/>
      <c r="AB364" s="365"/>
      <c r="AC364" s="365"/>
      <c r="AD364" s="165"/>
      <c r="AE364" s="165"/>
      <c r="AF364" s="165"/>
      <c r="AG364" s="165"/>
      <c r="AH364" s="165"/>
      <c r="AI364" s="165"/>
      <c r="AJ364" s="165"/>
      <c r="AK364" s="165"/>
      <c r="AL364" s="165"/>
      <c r="AM364" s="165"/>
      <c r="AN364" s="165"/>
      <c r="AO364" s="165"/>
      <c r="AP364" s="165"/>
      <c r="AQ364" s="165"/>
    </row>
    <row r="365" ht="12.75" customHeight="1">
      <c r="A365" s="426"/>
      <c r="B365" s="180"/>
      <c r="C365" s="180"/>
      <c r="D365" s="180"/>
      <c r="E365" s="180"/>
      <c r="F365" s="180"/>
      <c r="G365" s="180"/>
      <c r="H365" s="283"/>
      <c r="I365" s="268"/>
      <c r="J365" s="430"/>
      <c r="K365" s="430"/>
      <c r="L365" s="431"/>
      <c r="M365" s="431"/>
      <c r="N365" s="431"/>
      <c r="O365" s="431"/>
      <c r="P365" s="406"/>
      <c r="Q365" s="406"/>
      <c r="R365" s="406"/>
      <c r="S365" s="406"/>
      <c r="T365" s="160"/>
      <c r="U365" s="195"/>
      <c r="V365" s="195"/>
      <c r="W365" s="195"/>
      <c r="X365" s="195"/>
      <c r="Y365" s="181"/>
      <c r="Z365" s="163"/>
      <c r="AA365" s="365"/>
      <c r="AB365" s="365"/>
      <c r="AC365" s="365"/>
      <c r="AD365" s="165"/>
      <c r="AE365" s="165"/>
      <c r="AF365" s="165"/>
      <c r="AG365" s="165"/>
      <c r="AH365" s="165"/>
      <c r="AI365" s="165"/>
      <c r="AJ365" s="165"/>
      <c r="AK365" s="165"/>
      <c r="AL365" s="165"/>
      <c r="AM365" s="165"/>
      <c r="AN365" s="165"/>
      <c r="AO365" s="165"/>
      <c r="AP365" s="165"/>
      <c r="AQ365" s="165"/>
    </row>
    <row r="366" ht="12.75" customHeight="1">
      <c r="A366" s="426"/>
      <c r="B366" s="180"/>
      <c r="C366" s="180"/>
      <c r="D366" s="180"/>
      <c r="E366" s="180"/>
      <c r="F366" s="180"/>
      <c r="G366" s="180"/>
      <c r="H366" s="283"/>
      <c r="I366" s="268"/>
      <c r="J366" s="430"/>
      <c r="K366" s="430"/>
      <c r="L366" s="431"/>
      <c r="M366" s="431"/>
      <c r="N366" s="431"/>
      <c r="O366" s="431"/>
      <c r="P366" s="406"/>
      <c r="Q366" s="406"/>
      <c r="R366" s="406"/>
      <c r="S366" s="406"/>
      <c r="T366" s="160"/>
      <c r="U366" s="195"/>
      <c r="V366" s="195"/>
      <c r="W366" s="195"/>
      <c r="X366" s="195"/>
      <c r="Y366" s="181"/>
      <c r="Z366" s="163"/>
      <c r="AA366" s="365"/>
      <c r="AB366" s="365"/>
      <c r="AC366" s="365"/>
      <c r="AD366" s="165"/>
      <c r="AE366" s="165"/>
      <c r="AF366" s="165"/>
      <c r="AG366" s="165"/>
      <c r="AH366" s="165"/>
      <c r="AI366" s="165"/>
      <c r="AJ366" s="165"/>
      <c r="AK366" s="165"/>
      <c r="AL366" s="165"/>
      <c r="AM366" s="165"/>
      <c r="AN366" s="165"/>
      <c r="AO366" s="165"/>
      <c r="AP366" s="165"/>
      <c r="AQ366" s="165"/>
    </row>
    <row r="367" ht="12.75" customHeight="1">
      <c r="A367" s="426"/>
      <c r="B367" s="180"/>
      <c r="C367" s="180"/>
      <c r="D367" s="180"/>
      <c r="E367" s="180"/>
      <c r="F367" s="180"/>
      <c r="G367" s="180"/>
      <c r="H367" s="283"/>
      <c r="I367" s="268"/>
      <c r="J367" s="430"/>
      <c r="K367" s="430"/>
      <c r="L367" s="431"/>
      <c r="M367" s="431"/>
      <c r="N367" s="431"/>
      <c r="O367" s="431"/>
      <c r="P367" s="406"/>
      <c r="Q367" s="406"/>
      <c r="R367" s="406"/>
      <c r="S367" s="406"/>
      <c r="T367" s="160"/>
      <c r="U367" s="195"/>
      <c r="V367" s="195"/>
      <c r="W367" s="195"/>
      <c r="X367" s="195"/>
      <c r="Y367" s="181"/>
      <c r="Z367" s="163"/>
      <c r="AA367" s="365"/>
      <c r="AB367" s="365"/>
      <c r="AC367" s="365"/>
      <c r="AD367" s="165"/>
      <c r="AE367" s="165"/>
      <c r="AF367" s="165"/>
      <c r="AG367" s="165"/>
      <c r="AH367" s="165"/>
      <c r="AI367" s="165"/>
      <c r="AJ367" s="165"/>
      <c r="AK367" s="165"/>
      <c r="AL367" s="165"/>
      <c r="AM367" s="165"/>
      <c r="AN367" s="165"/>
      <c r="AO367" s="165"/>
      <c r="AP367" s="165"/>
      <c r="AQ367" s="165"/>
    </row>
    <row r="368" ht="12.75" customHeight="1">
      <c r="A368" s="426"/>
      <c r="B368" s="180"/>
      <c r="C368" s="180"/>
      <c r="D368" s="180"/>
      <c r="E368" s="180"/>
      <c r="F368" s="180"/>
      <c r="G368" s="180"/>
      <c r="H368" s="283"/>
      <c r="I368" s="268"/>
      <c r="J368" s="430"/>
      <c r="K368" s="430"/>
      <c r="L368" s="431"/>
      <c r="M368" s="431"/>
      <c r="N368" s="431"/>
      <c r="O368" s="431"/>
      <c r="P368" s="406"/>
      <c r="Q368" s="406"/>
      <c r="R368" s="406"/>
      <c r="S368" s="406"/>
      <c r="T368" s="160"/>
      <c r="U368" s="195"/>
      <c r="V368" s="195"/>
      <c r="W368" s="195"/>
      <c r="X368" s="195"/>
      <c r="Y368" s="181"/>
      <c r="Z368" s="163"/>
      <c r="AA368" s="365"/>
      <c r="AB368" s="365"/>
      <c r="AC368" s="365"/>
      <c r="AD368" s="165"/>
      <c r="AE368" s="165"/>
      <c r="AF368" s="165"/>
      <c r="AG368" s="165"/>
      <c r="AH368" s="165"/>
      <c r="AI368" s="165"/>
      <c r="AJ368" s="165"/>
      <c r="AK368" s="165"/>
      <c r="AL368" s="165"/>
      <c r="AM368" s="165"/>
      <c r="AN368" s="165"/>
      <c r="AO368" s="165"/>
      <c r="AP368" s="165"/>
      <c r="AQ368" s="165"/>
    </row>
    <row r="369" ht="12.75" customHeight="1">
      <c r="A369" s="426"/>
      <c r="B369" s="180"/>
      <c r="C369" s="180"/>
      <c r="D369" s="180"/>
      <c r="E369" s="180"/>
      <c r="F369" s="180"/>
      <c r="G369" s="180"/>
      <c r="H369" s="283"/>
      <c r="I369" s="268"/>
      <c r="J369" s="430"/>
      <c r="K369" s="430"/>
      <c r="L369" s="431"/>
      <c r="M369" s="431"/>
      <c r="N369" s="431"/>
      <c r="O369" s="431"/>
      <c r="P369" s="406"/>
      <c r="Q369" s="406"/>
      <c r="R369" s="406"/>
      <c r="S369" s="406"/>
      <c r="T369" s="160"/>
      <c r="U369" s="195"/>
      <c r="V369" s="195"/>
      <c r="W369" s="195"/>
      <c r="X369" s="195"/>
      <c r="Y369" s="181"/>
      <c r="Z369" s="163"/>
      <c r="AA369" s="365"/>
      <c r="AB369" s="365"/>
      <c r="AC369" s="365"/>
      <c r="AD369" s="165"/>
      <c r="AE369" s="165"/>
      <c r="AF369" s="165"/>
      <c r="AG369" s="165"/>
      <c r="AH369" s="165"/>
      <c r="AI369" s="165"/>
      <c r="AJ369" s="165"/>
      <c r="AK369" s="165"/>
      <c r="AL369" s="165"/>
      <c r="AM369" s="165"/>
      <c r="AN369" s="165"/>
      <c r="AO369" s="165"/>
      <c r="AP369" s="165"/>
      <c r="AQ369" s="165"/>
    </row>
    <row r="370" ht="12.75" customHeight="1">
      <c r="A370" s="426"/>
      <c r="B370" s="180"/>
      <c r="C370" s="180"/>
      <c r="D370" s="180"/>
      <c r="E370" s="180"/>
      <c r="F370" s="180"/>
      <c r="G370" s="180"/>
      <c r="H370" s="283"/>
      <c r="I370" s="268"/>
      <c r="J370" s="430"/>
      <c r="K370" s="430"/>
      <c r="L370" s="431"/>
      <c r="M370" s="431"/>
      <c r="N370" s="431"/>
      <c r="O370" s="431"/>
      <c r="P370" s="406"/>
      <c r="Q370" s="406"/>
      <c r="R370" s="406"/>
      <c r="S370" s="406"/>
      <c r="T370" s="160"/>
      <c r="U370" s="195"/>
      <c r="V370" s="195"/>
      <c r="W370" s="195"/>
      <c r="X370" s="195"/>
      <c r="Y370" s="181"/>
      <c r="Z370" s="163"/>
      <c r="AA370" s="365"/>
      <c r="AB370" s="365"/>
      <c r="AC370" s="365"/>
      <c r="AD370" s="165"/>
      <c r="AE370" s="165"/>
      <c r="AF370" s="165"/>
      <c r="AG370" s="165"/>
      <c r="AH370" s="165"/>
      <c r="AI370" s="165"/>
      <c r="AJ370" s="165"/>
      <c r="AK370" s="165"/>
      <c r="AL370" s="165"/>
      <c r="AM370" s="165"/>
      <c r="AN370" s="165"/>
      <c r="AO370" s="165"/>
      <c r="AP370" s="165"/>
      <c r="AQ370" s="165"/>
    </row>
    <row r="371" ht="12.75" customHeight="1">
      <c r="A371" s="426"/>
      <c r="B371" s="180"/>
      <c r="C371" s="180"/>
      <c r="D371" s="180"/>
      <c r="E371" s="180"/>
      <c r="F371" s="180"/>
      <c r="G371" s="180"/>
      <c r="H371" s="283"/>
      <c r="I371" s="268"/>
      <c r="J371" s="430"/>
      <c r="K371" s="430"/>
      <c r="L371" s="431"/>
      <c r="M371" s="431"/>
      <c r="N371" s="431"/>
      <c r="O371" s="431"/>
      <c r="P371" s="406"/>
      <c r="Q371" s="406"/>
      <c r="R371" s="406"/>
      <c r="S371" s="406"/>
      <c r="T371" s="160"/>
      <c r="U371" s="195"/>
      <c r="V371" s="195"/>
      <c r="W371" s="195"/>
      <c r="X371" s="195"/>
      <c r="Y371" s="181"/>
      <c r="Z371" s="163"/>
      <c r="AA371" s="365"/>
      <c r="AB371" s="365"/>
      <c r="AC371" s="365"/>
      <c r="AD371" s="165"/>
      <c r="AE371" s="165"/>
      <c r="AF371" s="165"/>
      <c r="AG371" s="165"/>
      <c r="AH371" s="165"/>
      <c r="AI371" s="165"/>
      <c r="AJ371" s="165"/>
      <c r="AK371" s="165"/>
      <c r="AL371" s="165"/>
      <c r="AM371" s="165"/>
      <c r="AN371" s="165"/>
      <c r="AO371" s="165"/>
      <c r="AP371" s="165"/>
      <c r="AQ371" s="165"/>
    </row>
    <row r="372" ht="12.75" customHeight="1">
      <c r="A372" s="426"/>
      <c r="B372" s="180"/>
      <c r="C372" s="180"/>
      <c r="D372" s="180"/>
      <c r="E372" s="180"/>
      <c r="F372" s="180"/>
      <c r="G372" s="180"/>
      <c r="H372" s="283"/>
      <c r="I372" s="268"/>
      <c r="J372" s="430"/>
      <c r="K372" s="430"/>
      <c r="L372" s="431"/>
      <c r="M372" s="431"/>
      <c r="N372" s="431"/>
      <c r="O372" s="431"/>
      <c r="P372" s="406"/>
      <c r="Q372" s="406"/>
      <c r="R372" s="406"/>
      <c r="S372" s="406"/>
      <c r="T372" s="160"/>
      <c r="U372" s="195"/>
      <c r="V372" s="195"/>
      <c r="W372" s="195"/>
      <c r="X372" s="195"/>
      <c r="Y372" s="181"/>
      <c r="Z372" s="163"/>
      <c r="AA372" s="365"/>
      <c r="AB372" s="365"/>
      <c r="AC372" s="365"/>
      <c r="AD372" s="165"/>
      <c r="AE372" s="165"/>
      <c r="AF372" s="165"/>
      <c r="AG372" s="165"/>
      <c r="AH372" s="165"/>
      <c r="AI372" s="165"/>
      <c r="AJ372" s="165"/>
      <c r="AK372" s="165"/>
      <c r="AL372" s="165"/>
      <c r="AM372" s="165"/>
      <c r="AN372" s="165"/>
      <c r="AO372" s="165"/>
      <c r="AP372" s="165"/>
      <c r="AQ372" s="165"/>
    </row>
    <row r="373" ht="12.75" customHeight="1">
      <c r="A373" s="426"/>
      <c r="B373" s="180"/>
      <c r="C373" s="180"/>
      <c r="D373" s="180"/>
      <c r="E373" s="180"/>
      <c r="F373" s="180"/>
      <c r="G373" s="180"/>
      <c r="H373" s="283"/>
      <c r="I373" s="268"/>
      <c r="J373" s="430"/>
      <c r="K373" s="430"/>
      <c r="L373" s="431"/>
      <c r="M373" s="431"/>
      <c r="N373" s="431"/>
      <c r="O373" s="431"/>
      <c r="P373" s="406"/>
      <c r="Q373" s="406"/>
      <c r="R373" s="406"/>
      <c r="S373" s="406"/>
      <c r="T373" s="160"/>
      <c r="U373" s="195"/>
      <c r="V373" s="195"/>
      <c r="W373" s="195"/>
      <c r="X373" s="195"/>
      <c r="Y373" s="181"/>
      <c r="Z373" s="163"/>
      <c r="AA373" s="365"/>
      <c r="AB373" s="365"/>
      <c r="AC373" s="365"/>
      <c r="AD373" s="165"/>
      <c r="AE373" s="165"/>
      <c r="AF373" s="165"/>
      <c r="AG373" s="165"/>
      <c r="AH373" s="165"/>
      <c r="AI373" s="165"/>
      <c r="AJ373" s="165"/>
      <c r="AK373" s="165"/>
      <c r="AL373" s="165"/>
      <c r="AM373" s="165"/>
      <c r="AN373" s="165"/>
      <c r="AO373" s="165"/>
      <c r="AP373" s="165"/>
      <c r="AQ373" s="165"/>
    </row>
    <row r="374" ht="12.75" customHeight="1">
      <c r="A374" s="426"/>
      <c r="B374" s="180"/>
      <c r="C374" s="180"/>
      <c r="D374" s="180"/>
      <c r="E374" s="180"/>
      <c r="F374" s="180"/>
      <c r="G374" s="180"/>
      <c r="H374" s="283"/>
      <c r="I374" s="268"/>
      <c r="J374" s="430"/>
      <c r="K374" s="430"/>
      <c r="L374" s="431"/>
      <c r="M374" s="431"/>
      <c r="N374" s="431"/>
      <c r="O374" s="431"/>
      <c r="P374" s="406"/>
      <c r="Q374" s="406"/>
      <c r="R374" s="406"/>
      <c r="S374" s="406"/>
      <c r="T374" s="160"/>
      <c r="U374" s="195"/>
      <c r="V374" s="195"/>
      <c r="W374" s="195"/>
      <c r="X374" s="195"/>
      <c r="Y374" s="181"/>
      <c r="Z374" s="163"/>
      <c r="AA374" s="365"/>
      <c r="AB374" s="365"/>
      <c r="AC374" s="365"/>
      <c r="AD374" s="165"/>
      <c r="AE374" s="165"/>
      <c r="AF374" s="165"/>
      <c r="AG374" s="165"/>
      <c r="AH374" s="165"/>
      <c r="AI374" s="165"/>
      <c r="AJ374" s="165"/>
      <c r="AK374" s="165"/>
      <c r="AL374" s="165"/>
      <c r="AM374" s="165"/>
      <c r="AN374" s="165"/>
      <c r="AO374" s="165"/>
      <c r="AP374" s="165"/>
      <c r="AQ374" s="165"/>
    </row>
    <row r="375" ht="12.75" customHeight="1">
      <c r="A375" s="426"/>
      <c r="B375" s="180"/>
      <c r="C375" s="180"/>
      <c r="D375" s="180"/>
      <c r="E375" s="180"/>
      <c r="F375" s="180"/>
      <c r="G375" s="180"/>
      <c r="H375" s="283"/>
      <c r="I375" s="268"/>
      <c r="J375" s="430"/>
      <c r="K375" s="430"/>
      <c r="L375" s="431"/>
      <c r="M375" s="431"/>
      <c r="N375" s="431"/>
      <c r="O375" s="431"/>
      <c r="P375" s="406"/>
      <c r="Q375" s="406"/>
      <c r="R375" s="406"/>
      <c r="S375" s="406"/>
      <c r="T375" s="160"/>
      <c r="U375" s="195"/>
      <c r="V375" s="195"/>
      <c r="W375" s="195"/>
      <c r="X375" s="195"/>
      <c r="Y375" s="181"/>
      <c r="Z375" s="163"/>
      <c r="AA375" s="365"/>
      <c r="AB375" s="365"/>
      <c r="AC375" s="365"/>
      <c r="AD375" s="165"/>
      <c r="AE375" s="165"/>
      <c r="AF375" s="165"/>
      <c r="AG375" s="165"/>
      <c r="AH375" s="165"/>
      <c r="AI375" s="165"/>
      <c r="AJ375" s="165"/>
      <c r="AK375" s="165"/>
      <c r="AL375" s="165"/>
      <c r="AM375" s="165"/>
      <c r="AN375" s="165"/>
      <c r="AO375" s="165"/>
      <c r="AP375" s="165"/>
      <c r="AQ375" s="165"/>
    </row>
    <row r="376" ht="12.75" customHeight="1">
      <c r="A376" s="426"/>
      <c r="B376" s="180"/>
      <c r="C376" s="180"/>
      <c r="D376" s="180"/>
      <c r="E376" s="180"/>
      <c r="F376" s="180"/>
      <c r="G376" s="180"/>
      <c r="H376" s="283"/>
      <c r="I376" s="268"/>
      <c r="J376" s="430"/>
      <c r="K376" s="430"/>
      <c r="L376" s="431"/>
      <c r="M376" s="431"/>
      <c r="N376" s="431"/>
      <c r="O376" s="431"/>
      <c r="P376" s="406"/>
      <c r="Q376" s="406"/>
      <c r="R376" s="406"/>
      <c r="S376" s="406"/>
      <c r="T376" s="160"/>
      <c r="U376" s="195"/>
      <c r="V376" s="195"/>
      <c r="W376" s="195"/>
      <c r="X376" s="195"/>
      <c r="Y376" s="181"/>
      <c r="Z376" s="163"/>
      <c r="AA376" s="365"/>
      <c r="AB376" s="365"/>
      <c r="AC376" s="365"/>
      <c r="AD376" s="165"/>
      <c r="AE376" s="165"/>
      <c r="AF376" s="165"/>
      <c r="AG376" s="165"/>
      <c r="AH376" s="165"/>
      <c r="AI376" s="165"/>
      <c r="AJ376" s="165"/>
      <c r="AK376" s="165"/>
      <c r="AL376" s="165"/>
      <c r="AM376" s="165"/>
      <c r="AN376" s="165"/>
      <c r="AO376" s="165"/>
      <c r="AP376" s="165"/>
      <c r="AQ376" s="165"/>
    </row>
    <row r="377" ht="12.75" customHeight="1">
      <c r="A377" s="426"/>
      <c r="B377" s="180"/>
      <c r="C377" s="180"/>
      <c r="D377" s="180"/>
      <c r="E377" s="180"/>
      <c r="F377" s="180"/>
      <c r="G377" s="180"/>
      <c r="H377" s="283"/>
      <c r="I377" s="268"/>
      <c r="J377" s="430"/>
      <c r="K377" s="430"/>
      <c r="L377" s="431"/>
      <c r="M377" s="431"/>
      <c r="N377" s="431"/>
      <c r="O377" s="431"/>
      <c r="P377" s="406"/>
      <c r="Q377" s="406"/>
      <c r="R377" s="406"/>
      <c r="S377" s="406"/>
      <c r="T377" s="160"/>
      <c r="U377" s="195"/>
      <c r="V377" s="195"/>
      <c r="W377" s="195"/>
      <c r="X377" s="195"/>
      <c r="Y377" s="181"/>
      <c r="Z377" s="163"/>
      <c r="AA377" s="365"/>
      <c r="AB377" s="365"/>
      <c r="AC377" s="365"/>
      <c r="AD377" s="165"/>
      <c r="AE377" s="165"/>
      <c r="AF377" s="165"/>
      <c r="AG377" s="165"/>
      <c r="AH377" s="165"/>
      <c r="AI377" s="165"/>
      <c r="AJ377" s="165"/>
      <c r="AK377" s="165"/>
      <c r="AL377" s="165"/>
      <c r="AM377" s="165"/>
      <c r="AN377" s="165"/>
      <c r="AO377" s="165"/>
      <c r="AP377" s="165"/>
      <c r="AQ377" s="165"/>
    </row>
    <row r="378" ht="12.75" customHeight="1">
      <c r="A378" s="426"/>
      <c r="B378" s="180"/>
      <c r="C378" s="180"/>
      <c r="D378" s="180"/>
      <c r="E378" s="180"/>
      <c r="F378" s="180"/>
      <c r="G378" s="180"/>
      <c r="H378" s="283"/>
      <c r="I378" s="268"/>
      <c r="J378" s="430"/>
      <c r="K378" s="430"/>
      <c r="L378" s="431"/>
      <c r="M378" s="431"/>
      <c r="N378" s="431"/>
      <c r="O378" s="431"/>
      <c r="P378" s="406"/>
      <c r="Q378" s="406"/>
      <c r="R378" s="406"/>
      <c r="S378" s="406"/>
      <c r="T378" s="160"/>
      <c r="U378" s="195"/>
      <c r="V378" s="195"/>
      <c r="W378" s="195"/>
      <c r="X378" s="195"/>
      <c r="Y378" s="181"/>
      <c r="Z378" s="163"/>
      <c r="AA378" s="365"/>
      <c r="AB378" s="365"/>
      <c r="AC378" s="365"/>
      <c r="AD378" s="165"/>
      <c r="AE378" s="165"/>
      <c r="AF378" s="165"/>
      <c r="AG378" s="165"/>
      <c r="AH378" s="165"/>
      <c r="AI378" s="165"/>
      <c r="AJ378" s="165"/>
      <c r="AK378" s="165"/>
      <c r="AL378" s="165"/>
      <c r="AM378" s="165"/>
      <c r="AN378" s="165"/>
      <c r="AO378" s="165"/>
      <c r="AP378" s="165"/>
      <c r="AQ378" s="165"/>
    </row>
    <row r="379" ht="12.75" customHeight="1">
      <c r="A379" s="426"/>
      <c r="B379" s="180"/>
      <c r="C379" s="180"/>
      <c r="D379" s="180"/>
      <c r="E379" s="180"/>
      <c r="F379" s="180"/>
      <c r="G379" s="180"/>
      <c r="H379" s="283"/>
      <c r="I379" s="268"/>
      <c r="J379" s="430"/>
      <c r="K379" s="430"/>
      <c r="L379" s="431"/>
      <c r="M379" s="431"/>
      <c r="N379" s="431"/>
      <c r="O379" s="431"/>
      <c r="P379" s="406"/>
      <c r="Q379" s="406"/>
      <c r="R379" s="406"/>
      <c r="S379" s="406"/>
      <c r="T379" s="160"/>
      <c r="U379" s="195"/>
      <c r="V379" s="195"/>
      <c r="W379" s="195"/>
      <c r="X379" s="195"/>
      <c r="Y379" s="181"/>
      <c r="Z379" s="163"/>
      <c r="AA379" s="365"/>
      <c r="AB379" s="365"/>
      <c r="AC379" s="365"/>
      <c r="AD379" s="165"/>
      <c r="AE379" s="165"/>
      <c r="AF379" s="165"/>
      <c r="AG379" s="165"/>
      <c r="AH379" s="165"/>
      <c r="AI379" s="165"/>
      <c r="AJ379" s="165"/>
      <c r="AK379" s="165"/>
      <c r="AL379" s="165"/>
      <c r="AM379" s="165"/>
      <c r="AN379" s="165"/>
      <c r="AO379" s="165"/>
      <c r="AP379" s="165"/>
      <c r="AQ379" s="165"/>
    </row>
    <row r="380" ht="12.75" customHeight="1">
      <c r="A380" s="426"/>
      <c r="B380" s="180"/>
      <c r="C380" s="180"/>
      <c r="D380" s="180"/>
      <c r="E380" s="180"/>
      <c r="F380" s="180"/>
      <c r="G380" s="180"/>
      <c r="H380" s="283"/>
      <c r="I380" s="268"/>
      <c r="J380" s="430"/>
      <c r="K380" s="430"/>
      <c r="L380" s="431"/>
      <c r="M380" s="431"/>
      <c r="N380" s="431"/>
      <c r="O380" s="431"/>
      <c r="P380" s="406"/>
      <c r="Q380" s="406"/>
      <c r="R380" s="406"/>
      <c r="S380" s="406"/>
      <c r="T380" s="160"/>
      <c r="U380" s="195"/>
      <c r="V380" s="195"/>
      <c r="W380" s="195"/>
      <c r="X380" s="195"/>
      <c r="Y380" s="181"/>
      <c r="Z380" s="163"/>
      <c r="AA380" s="365"/>
      <c r="AB380" s="365"/>
      <c r="AC380" s="365"/>
      <c r="AD380" s="165"/>
      <c r="AE380" s="165"/>
      <c r="AF380" s="165"/>
      <c r="AG380" s="165"/>
      <c r="AH380" s="165"/>
      <c r="AI380" s="165"/>
      <c r="AJ380" s="165"/>
      <c r="AK380" s="165"/>
      <c r="AL380" s="165"/>
      <c r="AM380" s="165"/>
      <c r="AN380" s="165"/>
      <c r="AO380" s="165"/>
      <c r="AP380" s="165"/>
      <c r="AQ380" s="165"/>
    </row>
    <row r="381" ht="12.75" customHeight="1">
      <c r="A381" s="426"/>
      <c r="B381" s="180"/>
      <c r="C381" s="180"/>
      <c r="D381" s="180"/>
      <c r="E381" s="180"/>
      <c r="F381" s="180"/>
      <c r="G381" s="180"/>
      <c r="H381" s="283"/>
      <c r="I381" s="268"/>
      <c r="J381" s="430"/>
      <c r="K381" s="430"/>
      <c r="L381" s="431"/>
      <c r="M381" s="431"/>
      <c r="N381" s="431"/>
      <c r="O381" s="431"/>
      <c r="P381" s="406"/>
      <c r="Q381" s="406"/>
      <c r="R381" s="406"/>
      <c r="S381" s="406"/>
      <c r="T381" s="160"/>
      <c r="U381" s="195"/>
      <c r="V381" s="195"/>
      <c r="W381" s="195"/>
      <c r="X381" s="195"/>
      <c r="Y381" s="181"/>
      <c r="Z381" s="163"/>
      <c r="AA381" s="365"/>
      <c r="AB381" s="365"/>
      <c r="AC381" s="365"/>
      <c r="AD381" s="165"/>
      <c r="AE381" s="165"/>
      <c r="AF381" s="165"/>
      <c r="AG381" s="165"/>
      <c r="AH381" s="165"/>
      <c r="AI381" s="165"/>
      <c r="AJ381" s="165"/>
      <c r="AK381" s="165"/>
      <c r="AL381" s="165"/>
      <c r="AM381" s="165"/>
      <c r="AN381" s="165"/>
      <c r="AO381" s="165"/>
      <c r="AP381" s="165"/>
      <c r="AQ381" s="165"/>
    </row>
    <row r="382" ht="12.75" customHeight="1">
      <c r="A382" s="426"/>
      <c r="B382" s="180"/>
      <c r="C382" s="180"/>
      <c r="D382" s="180"/>
      <c r="E382" s="180"/>
      <c r="F382" s="180"/>
      <c r="G382" s="180"/>
      <c r="H382" s="283"/>
      <c r="I382" s="268"/>
      <c r="J382" s="430"/>
      <c r="K382" s="430"/>
      <c r="L382" s="431"/>
      <c r="M382" s="431"/>
      <c r="N382" s="431"/>
      <c r="O382" s="431"/>
      <c r="P382" s="406"/>
      <c r="Q382" s="406"/>
      <c r="R382" s="406"/>
      <c r="S382" s="406"/>
      <c r="T382" s="160"/>
      <c r="U382" s="195"/>
      <c r="V382" s="195"/>
      <c r="W382" s="195"/>
      <c r="X382" s="195"/>
      <c r="Y382" s="181"/>
      <c r="Z382" s="163"/>
      <c r="AA382" s="365"/>
      <c r="AB382" s="365"/>
      <c r="AC382" s="365"/>
      <c r="AD382" s="165"/>
      <c r="AE382" s="165"/>
      <c r="AF382" s="165"/>
      <c r="AG382" s="165"/>
      <c r="AH382" s="165"/>
      <c r="AI382" s="165"/>
      <c r="AJ382" s="165"/>
      <c r="AK382" s="165"/>
      <c r="AL382" s="165"/>
      <c r="AM382" s="165"/>
      <c r="AN382" s="165"/>
      <c r="AO382" s="165"/>
      <c r="AP382" s="165"/>
      <c r="AQ382" s="165"/>
    </row>
    <row r="383" ht="12.75" customHeight="1">
      <c r="A383" s="426"/>
      <c r="B383" s="180"/>
      <c r="C383" s="180"/>
      <c r="D383" s="180"/>
      <c r="E383" s="180"/>
      <c r="F383" s="180"/>
      <c r="G383" s="180"/>
      <c r="H383" s="283"/>
      <c r="I383" s="268"/>
      <c r="J383" s="430"/>
      <c r="K383" s="430"/>
      <c r="L383" s="431"/>
      <c r="M383" s="431"/>
      <c r="N383" s="431"/>
      <c r="O383" s="431"/>
      <c r="P383" s="406"/>
      <c r="Q383" s="406"/>
      <c r="R383" s="406"/>
      <c r="S383" s="406"/>
      <c r="T383" s="160"/>
      <c r="U383" s="195"/>
      <c r="V383" s="195"/>
      <c r="W383" s="195"/>
      <c r="X383" s="195"/>
      <c r="Y383" s="181"/>
      <c r="Z383" s="163"/>
      <c r="AA383" s="365"/>
      <c r="AB383" s="365"/>
      <c r="AC383" s="365"/>
      <c r="AD383" s="165"/>
      <c r="AE383" s="165"/>
      <c r="AF383" s="165"/>
      <c r="AG383" s="165"/>
      <c r="AH383" s="165"/>
      <c r="AI383" s="165"/>
      <c r="AJ383" s="165"/>
      <c r="AK383" s="165"/>
      <c r="AL383" s="165"/>
      <c r="AM383" s="165"/>
      <c r="AN383" s="165"/>
      <c r="AO383" s="165"/>
      <c r="AP383" s="165"/>
      <c r="AQ383" s="165"/>
    </row>
    <row r="384" ht="12.75" customHeight="1">
      <c r="A384" s="426"/>
      <c r="B384" s="180"/>
      <c r="C384" s="180"/>
      <c r="D384" s="180"/>
      <c r="E384" s="180"/>
      <c r="F384" s="180"/>
      <c r="G384" s="180"/>
      <c r="H384" s="283"/>
      <c r="I384" s="268"/>
      <c r="J384" s="430"/>
      <c r="K384" s="430"/>
      <c r="L384" s="431"/>
      <c r="M384" s="431"/>
      <c r="N384" s="431"/>
      <c r="O384" s="431"/>
      <c r="P384" s="406"/>
      <c r="Q384" s="406"/>
      <c r="R384" s="406"/>
      <c r="S384" s="406"/>
      <c r="T384" s="160"/>
      <c r="U384" s="195"/>
      <c r="V384" s="195"/>
      <c r="W384" s="195"/>
      <c r="X384" s="195"/>
      <c r="Y384" s="181"/>
      <c r="Z384" s="163"/>
      <c r="AA384" s="365"/>
      <c r="AB384" s="365"/>
      <c r="AC384" s="365"/>
      <c r="AD384" s="165"/>
      <c r="AE384" s="165"/>
      <c r="AF384" s="165"/>
      <c r="AG384" s="165"/>
      <c r="AH384" s="165"/>
      <c r="AI384" s="165"/>
      <c r="AJ384" s="165"/>
      <c r="AK384" s="165"/>
      <c r="AL384" s="165"/>
      <c r="AM384" s="165"/>
      <c r="AN384" s="165"/>
      <c r="AO384" s="165"/>
      <c r="AP384" s="165"/>
      <c r="AQ384" s="165"/>
    </row>
    <row r="385" ht="12.75" customHeight="1">
      <c r="A385" s="426"/>
      <c r="B385" s="180"/>
      <c r="C385" s="180"/>
      <c r="D385" s="180"/>
      <c r="E385" s="180"/>
      <c r="F385" s="180"/>
      <c r="G385" s="180"/>
      <c r="H385" s="283"/>
      <c r="I385" s="268"/>
      <c r="J385" s="430"/>
      <c r="K385" s="430"/>
      <c r="L385" s="431"/>
      <c r="M385" s="431"/>
      <c r="N385" s="431"/>
      <c r="O385" s="431"/>
      <c r="P385" s="406"/>
      <c r="Q385" s="406"/>
      <c r="R385" s="406"/>
      <c r="S385" s="406"/>
      <c r="T385" s="160"/>
      <c r="U385" s="195"/>
      <c r="V385" s="195"/>
      <c r="W385" s="195"/>
      <c r="X385" s="195"/>
      <c r="Y385" s="181"/>
      <c r="Z385" s="163"/>
      <c r="AA385" s="365"/>
      <c r="AB385" s="365"/>
      <c r="AC385" s="365"/>
      <c r="AD385" s="165"/>
      <c r="AE385" s="165"/>
      <c r="AF385" s="165"/>
      <c r="AG385" s="165"/>
      <c r="AH385" s="165"/>
      <c r="AI385" s="165"/>
      <c r="AJ385" s="165"/>
      <c r="AK385" s="165"/>
      <c r="AL385" s="165"/>
      <c r="AM385" s="165"/>
      <c r="AN385" s="165"/>
      <c r="AO385" s="165"/>
      <c r="AP385" s="165"/>
      <c r="AQ385" s="165"/>
    </row>
    <row r="386" ht="12.75" customHeight="1">
      <c r="A386" s="426"/>
      <c r="B386" s="180"/>
      <c r="C386" s="180"/>
      <c r="D386" s="180"/>
      <c r="E386" s="180"/>
      <c r="F386" s="180"/>
      <c r="G386" s="180"/>
      <c r="H386" s="283"/>
      <c r="I386" s="268"/>
      <c r="J386" s="430"/>
      <c r="K386" s="430"/>
      <c r="L386" s="431"/>
      <c r="M386" s="431"/>
      <c r="N386" s="431"/>
      <c r="O386" s="431"/>
      <c r="P386" s="406"/>
      <c r="Q386" s="406"/>
      <c r="R386" s="406"/>
      <c r="S386" s="406"/>
      <c r="T386" s="160"/>
      <c r="U386" s="195"/>
      <c r="V386" s="195"/>
      <c r="W386" s="195"/>
      <c r="X386" s="195"/>
      <c r="Y386" s="181"/>
      <c r="Z386" s="163"/>
      <c r="AA386" s="365"/>
      <c r="AB386" s="365"/>
      <c r="AC386" s="365"/>
      <c r="AD386" s="165"/>
      <c r="AE386" s="165"/>
      <c r="AF386" s="165"/>
      <c r="AG386" s="165"/>
      <c r="AH386" s="165"/>
      <c r="AI386" s="165"/>
      <c r="AJ386" s="165"/>
      <c r="AK386" s="165"/>
      <c r="AL386" s="165"/>
      <c r="AM386" s="165"/>
      <c r="AN386" s="165"/>
      <c r="AO386" s="165"/>
      <c r="AP386" s="165"/>
      <c r="AQ386" s="165"/>
    </row>
    <row r="387" ht="12.75" customHeight="1">
      <c r="A387" s="426"/>
      <c r="B387" s="180"/>
      <c r="C387" s="180"/>
      <c r="D387" s="180"/>
      <c r="E387" s="180"/>
      <c r="F387" s="180"/>
      <c r="G387" s="180"/>
      <c r="H387" s="283"/>
      <c r="I387" s="268"/>
      <c r="J387" s="430"/>
      <c r="K387" s="430"/>
      <c r="L387" s="431"/>
      <c r="M387" s="431"/>
      <c r="N387" s="431"/>
      <c r="O387" s="431"/>
      <c r="P387" s="406"/>
      <c r="Q387" s="406"/>
      <c r="R387" s="406"/>
      <c r="S387" s="406"/>
      <c r="T387" s="160"/>
      <c r="U387" s="195"/>
      <c r="V387" s="195"/>
      <c r="W387" s="195"/>
      <c r="X387" s="195"/>
      <c r="Y387" s="181"/>
      <c r="Z387" s="163"/>
      <c r="AA387" s="365"/>
      <c r="AB387" s="365"/>
      <c r="AC387" s="365"/>
      <c r="AD387" s="165"/>
      <c r="AE387" s="165"/>
      <c r="AF387" s="165"/>
      <c r="AG387" s="165"/>
      <c r="AH387" s="165"/>
      <c r="AI387" s="165"/>
      <c r="AJ387" s="165"/>
      <c r="AK387" s="165"/>
      <c r="AL387" s="165"/>
      <c r="AM387" s="165"/>
      <c r="AN387" s="165"/>
      <c r="AO387" s="165"/>
      <c r="AP387" s="165"/>
      <c r="AQ387" s="165"/>
    </row>
    <row r="388" ht="12.75" customHeight="1">
      <c r="A388" s="426"/>
      <c r="B388" s="180"/>
      <c r="C388" s="180"/>
      <c r="D388" s="180"/>
      <c r="E388" s="180"/>
      <c r="F388" s="180"/>
      <c r="G388" s="180"/>
      <c r="H388" s="283"/>
      <c r="I388" s="268"/>
      <c r="J388" s="430"/>
      <c r="K388" s="430"/>
      <c r="L388" s="431"/>
      <c r="M388" s="431"/>
      <c r="N388" s="431"/>
      <c r="O388" s="431"/>
      <c r="P388" s="406"/>
      <c r="Q388" s="406"/>
      <c r="R388" s="406"/>
      <c r="S388" s="406"/>
      <c r="T388" s="160"/>
      <c r="U388" s="195"/>
      <c r="V388" s="195"/>
      <c r="W388" s="195"/>
      <c r="X388" s="195"/>
      <c r="Y388" s="181"/>
      <c r="Z388" s="163"/>
      <c r="AA388" s="365"/>
      <c r="AB388" s="365"/>
      <c r="AC388" s="365"/>
      <c r="AD388" s="165"/>
      <c r="AE388" s="165"/>
      <c r="AF388" s="165"/>
      <c r="AG388" s="165"/>
      <c r="AH388" s="165"/>
      <c r="AI388" s="165"/>
      <c r="AJ388" s="165"/>
      <c r="AK388" s="165"/>
      <c r="AL388" s="165"/>
      <c r="AM388" s="165"/>
      <c r="AN388" s="165"/>
      <c r="AO388" s="165"/>
      <c r="AP388" s="165"/>
      <c r="AQ388" s="165"/>
    </row>
    <row r="389" ht="12.75" customHeight="1">
      <c r="A389" s="426"/>
      <c r="B389" s="180"/>
      <c r="C389" s="180"/>
      <c r="D389" s="180"/>
      <c r="E389" s="180"/>
      <c r="F389" s="180"/>
      <c r="G389" s="180"/>
      <c r="H389" s="283"/>
      <c r="I389" s="268"/>
      <c r="J389" s="430"/>
      <c r="K389" s="430"/>
      <c r="L389" s="431"/>
      <c r="M389" s="431"/>
      <c r="N389" s="431"/>
      <c r="O389" s="431"/>
      <c r="P389" s="406"/>
      <c r="Q389" s="406"/>
      <c r="R389" s="406"/>
      <c r="S389" s="406"/>
      <c r="T389" s="160"/>
      <c r="U389" s="195"/>
      <c r="V389" s="195"/>
      <c r="W389" s="195"/>
      <c r="X389" s="195"/>
      <c r="Y389" s="181"/>
      <c r="Z389" s="163"/>
      <c r="AA389" s="365"/>
      <c r="AB389" s="365"/>
      <c r="AC389" s="365"/>
      <c r="AD389" s="165"/>
      <c r="AE389" s="165"/>
      <c r="AF389" s="165"/>
      <c r="AG389" s="165"/>
      <c r="AH389" s="165"/>
      <c r="AI389" s="165"/>
      <c r="AJ389" s="165"/>
      <c r="AK389" s="165"/>
      <c r="AL389" s="165"/>
      <c r="AM389" s="165"/>
      <c r="AN389" s="165"/>
      <c r="AO389" s="165"/>
      <c r="AP389" s="165"/>
      <c r="AQ389" s="165"/>
    </row>
    <row r="390" ht="12.75" customHeight="1">
      <c r="A390" s="426"/>
      <c r="B390" s="180"/>
      <c r="C390" s="180"/>
      <c r="D390" s="180"/>
      <c r="E390" s="180"/>
      <c r="F390" s="180"/>
      <c r="G390" s="180"/>
      <c r="H390" s="283"/>
      <c r="I390" s="268"/>
      <c r="J390" s="430"/>
      <c r="K390" s="430"/>
      <c r="L390" s="431"/>
      <c r="M390" s="431"/>
      <c r="N390" s="431"/>
      <c r="O390" s="431"/>
      <c r="P390" s="406"/>
      <c r="Q390" s="406"/>
      <c r="R390" s="406"/>
      <c r="S390" s="406"/>
      <c r="T390" s="160"/>
      <c r="U390" s="195"/>
      <c r="V390" s="195"/>
      <c r="W390" s="195"/>
      <c r="X390" s="195"/>
      <c r="Y390" s="181"/>
      <c r="Z390" s="163"/>
      <c r="AA390" s="365"/>
      <c r="AB390" s="365"/>
      <c r="AC390" s="365"/>
      <c r="AD390" s="165"/>
      <c r="AE390" s="165"/>
      <c r="AF390" s="165"/>
      <c r="AG390" s="165"/>
      <c r="AH390" s="165"/>
      <c r="AI390" s="165"/>
      <c r="AJ390" s="165"/>
      <c r="AK390" s="165"/>
      <c r="AL390" s="165"/>
      <c r="AM390" s="165"/>
      <c r="AN390" s="165"/>
      <c r="AO390" s="165"/>
      <c r="AP390" s="165"/>
      <c r="AQ390" s="165"/>
    </row>
    <row r="391" ht="12.75" customHeight="1">
      <c r="A391" s="426"/>
      <c r="B391" s="180"/>
      <c r="C391" s="180"/>
      <c r="D391" s="180"/>
      <c r="E391" s="180"/>
      <c r="F391" s="180"/>
      <c r="G391" s="180"/>
      <c r="H391" s="283"/>
      <c r="I391" s="268"/>
      <c r="J391" s="430"/>
      <c r="K391" s="430"/>
      <c r="L391" s="431"/>
      <c r="M391" s="431"/>
      <c r="N391" s="431"/>
      <c r="O391" s="431"/>
      <c r="P391" s="406"/>
      <c r="Q391" s="406"/>
      <c r="R391" s="406"/>
      <c r="S391" s="406"/>
      <c r="T391" s="160"/>
      <c r="U391" s="195"/>
      <c r="V391" s="195"/>
      <c r="W391" s="195"/>
      <c r="X391" s="195"/>
      <c r="Y391" s="181"/>
      <c r="Z391" s="163"/>
      <c r="AA391" s="365"/>
      <c r="AB391" s="365"/>
      <c r="AC391" s="365"/>
      <c r="AD391" s="165"/>
      <c r="AE391" s="165"/>
      <c r="AF391" s="165"/>
      <c r="AG391" s="165"/>
      <c r="AH391" s="165"/>
      <c r="AI391" s="165"/>
      <c r="AJ391" s="165"/>
      <c r="AK391" s="165"/>
      <c r="AL391" s="165"/>
      <c r="AM391" s="165"/>
      <c r="AN391" s="165"/>
      <c r="AO391" s="165"/>
      <c r="AP391" s="165"/>
      <c r="AQ391" s="165"/>
    </row>
    <row r="392" ht="12.75" customHeight="1">
      <c r="A392" s="426"/>
      <c r="B392" s="180"/>
      <c r="C392" s="180"/>
      <c r="D392" s="180"/>
      <c r="E392" s="180"/>
      <c r="F392" s="180"/>
      <c r="G392" s="180"/>
      <c r="H392" s="283"/>
      <c r="I392" s="268"/>
      <c r="J392" s="430"/>
      <c r="K392" s="430"/>
      <c r="L392" s="431"/>
      <c r="M392" s="431"/>
      <c r="N392" s="431"/>
      <c r="O392" s="431"/>
      <c r="P392" s="406"/>
      <c r="Q392" s="406"/>
      <c r="R392" s="406"/>
      <c r="S392" s="406"/>
      <c r="T392" s="160"/>
      <c r="U392" s="195"/>
      <c r="V392" s="195"/>
      <c r="W392" s="195"/>
      <c r="X392" s="195"/>
      <c r="Y392" s="181"/>
      <c r="Z392" s="163"/>
      <c r="AA392" s="365"/>
      <c r="AB392" s="365"/>
      <c r="AC392" s="365"/>
      <c r="AD392" s="165"/>
      <c r="AE392" s="165"/>
      <c r="AF392" s="165"/>
      <c r="AG392" s="165"/>
      <c r="AH392" s="165"/>
      <c r="AI392" s="165"/>
      <c r="AJ392" s="165"/>
      <c r="AK392" s="165"/>
      <c r="AL392" s="165"/>
      <c r="AM392" s="165"/>
      <c r="AN392" s="165"/>
      <c r="AO392" s="165"/>
      <c r="AP392" s="165"/>
      <c r="AQ392" s="165"/>
    </row>
    <row r="393" ht="12.75" customHeight="1">
      <c r="A393" s="426"/>
      <c r="B393" s="180"/>
      <c r="C393" s="180"/>
      <c r="D393" s="180"/>
      <c r="E393" s="180"/>
      <c r="F393" s="180"/>
      <c r="G393" s="180"/>
      <c r="H393" s="283"/>
      <c r="I393" s="268"/>
      <c r="J393" s="430"/>
      <c r="K393" s="430"/>
      <c r="L393" s="431"/>
      <c r="M393" s="431"/>
      <c r="N393" s="431"/>
      <c r="O393" s="431"/>
      <c r="P393" s="406"/>
      <c r="Q393" s="406"/>
      <c r="R393" s="406"/>
      <c r="S393" s="406"/>
      <c r="T393" s="160"/>
      <c r="U393" s="195"/>
      <c r="V393" s="195"/>
      <c r="W393" s="195"/>
      <c r="X393" s="195"/>
      <c r="Y393" s="181"/>
      <c r="Z393" s="163"/>
      <c r="AA393" s="365"/>
      <c r="AB393" s="365"/>
      <c r="AC393" s="365"/>
      <c r="AD393" s="165"/>
      <c r="AE393" s="165"/>
      <c r="AF393" s="165"/>
      <c r="AG393" s="165"/>
      <c r="AH393" s="165"/>
      <c r="AI393" s="165"/>
      <c r="AJ393" s="165"/>
      <c r="AK393" s="165"/>
      <c r="AL393" s="165"/>
      <c r="AM393" s="165"/>
      <c r="AN393" s="165"/>
      <c r="AO393" s="165"/>
      <c r="AP393" s="165"/>
      <c r="AQ393" s="165"/>
    </row>
    <row r="394" ht="12.75" customHeight="1">
      <c r="A394" s="426"/>
      <c r="B394" s="180"/>
      <c r="C394" s="180"/>
      <c r="D394" s="180"/>
      <c r="E394" s="180"/>
      <c r="F394" s="180"/>
      <c r="G394" s="180"/>
      <c r="H394" s="283"/>
      <c r="I394" s="268"/>
      <c r="J394" s="430"/>
      <c r="K394" s="430"/>
      <c r="L394" s="431"/>
      <c r="M394" s="431"/>
      <c r="N394" s="431"/>
      <c r="O394" s="431"/>
      <c r="P394" s="406"/>
      <c r="Q394" s="406"/>
      <c r="R394" s="406"/>
      <c r="S394" s="406"/>
      <c r="T394" s="160"/>
      <c r="U394" s="195"/>
      <c r="V394" s="195"/>
      <c r="W394" s="195"/>
      <c r="X394" s="195"/>
      <c r="Y394" s="181"/>
      <c r="Z394" s="163"/>
      <c r="AA394" s="365"/>
      <c r="AB394" s="365"/>
      <c r="AC394" s="365"/>
      <c r="AD394" s="165"/>
      <c r="AE394" s="165"/>
      <c r="AF394" s="165"/>
      <c r="AG394" s="165"/>
      <c r="AH394" s="165"/>
      <c r="AI394" s="165"/>
      <c r="AJ394" s="165"/>
      <c r="AK394" s="165"/>
      <c r="AL394" s="165"/>
      <c r="AM394" s="165"/>
      <c r="AN394" s="165"/>
      <c r="AO394" s="165"/>
      <c r="AP394" s="165"/>
      <c r="AQ394" s="165"/>
    </row>
    <row r="395" ht="12.75" customHeight="1">
      <c r="A395" s="426"/>
      <c r="B395" s="180"/>
      <c r="C395" s="180"/>
      <c r="D395" s="180"/>
      <c r="E395" s="180"/>
      <c r="F395" s="180"/>
      <c r="G395" s="180"/>
      <c r="H395" s="283"/>
      <c r="I395" s="268"/>
      <c r="J395" s="430"/>
      <c r="K395" s="430"/>
      <c r="L395" s="431"/>
      <c r="M395" s="431"/>
      <c r="N395" s="431"/>
      <c r="O395" s="431"/>
      <c r="P395" s="406"/>
      <c r="Q395" s="406"/>
      <c r="R395" s="406"/>
      <c r="S395" s="406"/>
      <c r="T395" s="160"/>
      <c r="U395" s="195"/>
      <c r="V395" s="195"/>
      <c r="W395" s="195"/>
      <c r="X395" s="195"/>
      <c r="Y395" s="181"/>
      <c r="Z395" s="163"/>
      <c r="AA395" s="365"/>
      <c r="AB395" s="365"/>
      <c r="AC395" s="365"/>
      <c r="AD395" s="165"/>
      <c r="AE395" s="165"/>
      <c r="AF395" s="165"/>
      <c r="AG395" s="165"/>
      <c r="AH395" s="165"/>
      <c r="AI395" s="165"/>
      <c r="AJ395" s="165"/>
      <c r="AK395" s="165"/>
      <c r="AL395" s="165"/>
      <c r="AM395" s="165"/>
      <c r="AN395" s="165"/>
      <c r="AO395" s="165"/>
      <c r="AP395" s="165"/>
      <c r="AQ395" s="165"/>
    </row>
    <row r="396" ht="12.75" customHeight="1">
      <c r="A396" s="426"/>
      <c r="B396" s="180"/>
      <c r="C396" s="180"/>
      <c r="D396" s="180"/>
      <c r="E396" s="180"/>
      <c r="F396" s="180"/>
      <c r="G396" s="180"/>
      <c r="H396" s="283"/>
      <c r="I396" s="268"/>
      <c r="J396" s="430"/>
      <c r="K396" s="430"/>
      <c r="L396" s="431"/>
      <c r="M396" s="431"/>
      <c r="N396" s="431"/>
      <c r="O396" s="431"/>
      <c r="P396" s="406"/>
      <c r="Q396" s="406"/>
      <c r="R396" s="406"/>
      <c r="S396" s="406"/>
      <c r="T396" s="160"/>
      <c r="U396" s="195"/>
      <c r="V396" s="195"/>
      <c r="W396" s="195"/>
      <c r="X396" s="195"/>
      <c r="Y396" s="181"/>
      <c r="Z396" s="163"/>
      <c r="AA396" s="365"/>
      <c r="AB396" s="365"/>
      <c r="AC396" s="365"/>
      <c r="AD396" s="165"/>
      <c r="AE396" s="165"/>
      <c r="AF396" s="165"/>
      <c r="AG396" s="165"/>
      <c r="AH396" s="165"/>
      <c r="AI396" s="165"/>
      <c r="AJ396" s="165"/>
      <c r="AK396" s="165"/>
      <c r="AL396" s="165"/>
      <c r="AM396" s="165"/>
      <c r="AN396" s="165"/>
      <c r="AO396" s="165"/>
      <c r="AP396" s="165"/>
      <c r="AQ396" s="165"/>
    </row>
    <row r="397" ht="12.75" customHeight="1">
      <c r="A397" s="426"/>
      <c r="B397" s="180"/>
      <c r="C397" s="180"/>
      <c r="D397" s="180"/>
      <c r="E397" s="180"/>
      <c r="F397" s="180"/>
      <c r="G397" s="180"/>
      <c r="H397" s="283"/>
      <c r="I397" s="268"/>
      <c r="J397" s="430"/>
      <c r="K397" s="430"/>
      <c r="L397" s="431"/>
      <c r="M397" s="431"/>
      <c r="N397" s="431"/>
      <c r="O397" s="431"/>
      <c r="P397" s="406"/>
      <c r="Q397" s="406"/>
      <c r="R397" s="406"/>
      <c r="S397" s="406"/>
      <c r="T397" s="160"/>
      <c r="U397" s="195"/>
      <c r="V397" s="195"/>
      <c r="W397" s="195"/>
      <c r="X397" s="195"/>
      <c r="Y397" s="181"/>
      <c r="Z397" s="163"/>
      <c r="AA397" s="365"/>
      <c r="AB397" s="365"/>
      <c r="AC397" s="365"/>
      <c r="AD397" s="165"/>
      <c r="AE397" s="165"/>
      <c r="AF397" s="165"/>
      <c r="AG397" s="165"/>
      <c r="AH397" s="165"/>
      <c r="AI397" s="165"/>
      <c r="AJ397" s="165"/>
      <c r="AK397" s="165"/>
      <c r="AL397" s="165"/>
      <c r="AM397" s="165"/>
      <c r="AN397" s="165"/>
      <c r="AO397" s="165"/>
      <c r="AP397" s="165"/>
      <c r="AQ397" s="165"/>
    </row>
    <row r="398" ht="12.75" customHeight="1">
      <c r="A398" s="426"/>
      <c r="B398" s="180"/>
      <c r="C398" s="180"/>
      <c r="D398" s="180"/>
      <c r="E398" s="180"/>
      <c r="F398" s="180"/>
      <c r="G398" s="180"/>
      <c r="H398" s="283"/>
      <c r="I398" s="268"/>
      <c r="J398" s="430"/>
      <c r="K398" s="430"/>
      <c r="L398" s="431"/>
      <c r="M398" s="431"/>
      <c r="N398" s="431"/>
      <c r="O398" s="431"/>
      <c r="P398" s="406"/>
      <c r="Q398" s="406"/>
      <c r="R398" s="406"/>
      <c r="S398" s="406"/>
      <c r="T398" s="160"/>
      <c r="U398" s="195"/>
      <c r="V398" s="195"/>
      <c r="W398" s="195"/>
      <c r="X398" s="195"/>
      <c r="Y398" s="181"/>
      <c r="Z398" s="163"/>
      <c r="AA398" s="365"/>
      <c r="AB398" s="365"/>
      <c r="AC398" s="365"/>
      <c r="AD398" s="165"/>
      <c r="AE398" s="165"/>
      <c r="AF398" s="165"/>
      <c r="AG398" s="165"/>
      <c r="AH398" s="165"/>
      <c r="AI398" s="165"/>
      <c r="AJ398" s="165"/>
      <c r="AK398" s="165"/>
      <c r="AL398" s="165"/>
      <c r="AM398" s="165"/>
      <c r="AN398" s="165"/>
      <c r="AO398" s="165"/>
      <c r="AP398" s="165"/>
      <c r="AQ398" s="165"/>
    </row>
    <row r="399" ht="12.75" customHeight="1">
      <c r="A399" s="432"/>
      <c r="B399" s="433"/>
      <c r="C399" s="433"/>
      <c r="D399" s="433"/>
      <c r="E399" s="433"/>
      <c r="F399" s="433"/>
      <c r="G399" s="433"/>
      <c r="H399" s="434"/>
      <c r="J399" s="435"/>
      <c r="K399" s="435"/>
      <c r="L399" s="436"/>
      <c r="M399" s="436"/>
      <c r="N399" s="436"/>
      <c r="O399" s="436"/>
      <c r="T399" s="437"/>
      <c r="U399" s="438"/>
      <c r="V399" s="438"/>
      <c r="W399" s="438"/>
      <c r="X399" s="438"/>
      <c r="Y399" s="439"/>
      <c r="Z399" s="163"/>
      <c r="AA399" s="165"/>
      <c r="AB399" s="165"/>
      <c r="AC399" s="165"/>
      <c r="AD399" s="165"/>
      <c r="AE399" s="165"/>
      <c r="AF399" s="165"/>
      <c r="AG399" s="165"/>
      <c r="AH399" s="165"/>
      <c r="AI399" s="165"/>
      <c r="AJ399" s="165"/>
      <c r="AK399" s="165"/>
      <c r="AL399" s="165"/>
      <c r="AM399" s="165"/>
      <c r="AN399" s="165"/>
      <c r="AO399" s="165"/>
      <c r="AP399" s="165"/>
      <c r="AQ399" s="165"/>
    </row>
    <row r="400" ht="12.75" customHeight="1">
      <c r="A400" s="432"/>
      <c r="B400" s="433"/>
      <c r="C400" s="433"/>
      <c r="D400" s="433"/>
      <c r="E400" s="433"/>
      <c r="F400" s="433"/>
      <c r="G400" s="433"/>
      <c r="H400" s="434"/>
      <c r="J400" s="435"/>
      <c r="K400" s="435"/>
      <c r="L400" s="436"/>
      <c r="M400" s="436"/>
      <c r="N400" s="436"/>
      <c r="O400" s="436"/>
      <c r="T400" s="437"/>
      <c r="U400" s="438"/>
      <c r="V400" s="438"/>
      <c r="W400" s="438"/>
      <c r="X400" s="438"/>
      <c r="Y400" s="439"/>
      <c r="Z400" s="163"/>
      <c r="AA400" s="165"/>
      <c r="AB400" s="165"/>
      <c r="AC400" s="165"/>
      <c r="AD400" s="165"/>
      <c r="AE400" s="165"/>
      <c r="AF400" s="165"/>
      <c r="AG400" s="165"/>
      <c r="AH400" s="165"/>
      <c r="AI400" s="165"/>
      <c r="AJ400" s="165"/>
      <c r="AK400" s="165"/>
      <c r="AL400" s="165"/>
      <c r="AM400" s="165"/>
      <c r="AN400" s="165"/>
      <c r="AO400" s="165"/>
      <c r="AP400" s="165"/>
      <c r="AQ400" s="165"/>
    </row>
    <row r="401" ht="12.75" customHeight="1">
      <c r="A401" s="432"/>
      <c r="B401" s="433"/>
      <c r="C401" s="433"/>
      <c r="D401" s="433"/>
      <c r="E401" s="433"/>
      <c r="F401" s="433"/>
      <c r="G401" s="433"/>
      <c r="H401" s="434"/>
      <c r="J401" s="435"/>
      <c r="K401" s="435"/>
      <c r="L401" s="436"/>
      <c r="M401" s="436"/>
      <c r="N401" s="436"/>
      <c r="O401" s="436"/>
      <c r="T401" s="437"/>
      <c r="U401" s="438"/>
      <c r="V401" s="438"/>
      <c r="W401" s="438"/>
      <c r="X401" s="438"/>
      <c r="Y401" s="439"/>
      <c r="Z401" s="163"/>
      <c r="AA401" s="165"/>
      <c r="AB401" s="165"/>
      <c r="AC401" s="165"/>
      <c r="AD401" s="165"/>
      <c r="AE401" s="165"/>
      <c r="AF401" s="165"/>
      <c r="AG401" s="165"/>
      <c r="AH401" s="165"/>
      <c r="AI401" s="165"/>
      <c r="AJ401" s="165"/>
      <c r="AK401" s="165"/>
      <c r="AL401" s="165"/>
      <c r="AM401" s="165"/>
      <c r="AN401" s="165"/>
      <c r="AO401" s="165"/>
      <c r="AP401" s="165"/>
      <c r="AQ401" s="165"/>
    </row>
    <row r="402" ht="12.75" customHeight="1">
      <c r="A402" s="432"/>
      <c r="B402" s="433"/>
      <c r="C402" s="433"/>
      <c r="D402" s="433"/>
      <c r="E402" s="433"/>
      <c r="F402" s="433"/>
      <c r="G402" s="433"/>
      <c r="H402" s="434"/>
      <c r="J402" s="435"/>
      <c r="K402" s="435"/>
      <c r="L402" s="436"/>
      <c r="M402" s="436"/>
      <c r="N402" s="436"/>
      <c r="O402" s="436"/>
      <c r="T402" s="437"/>
      <c r="U402" s="438"/>
      <c r="V402" s="438"/>
      <c r="W402" s="438"/>
      <c r="X402" s="438"/>
      <c r="Y402" s="439"/>
      <c r="Z402" s="163"/>
      <c r="AA402" s="165"/>
      <c r="AB402" s="165"/>
      <c r="AC402" s="165"/>
      <c r="AD402" s="165"/>
      <c r="AE402" s="165"/>
      <c r="AF402" s="165"/>
      <c r="AG402" s="165"/>
      <c r="AH402" s="165"/>
      <c r="AI402" s="165"/>
      <c r="AJ402" s="165"/>
      <c r="AK402" s="165"/>
      <c r="AL402" s="165"/>
      <c r="AM402" s="165"/>
      <c r="AN402" s="165"/>
      <c r="AO402" s="165"/>
      <c r="AP402" s="165"/>
      <c r="AQ402" s="165"/>
    </row>
    <row r="403" ht="12.75" customHeight="1">
      <c r="A403" s="432"/>
      <c r="B403" s="433"/>
      <c r="C403" s="433"/>
      <c r="D403" s="433"/>
      <c r="E403" s="433"/>
      <c r="F403" s="433"/>
      <c r="G403" s="433"/>
      <c r="H403" s="434"/>
      <c r="J403" s="435"/>
      <c r="K403" s="435"/>
      <c r="L403" s="436"/>
      <c r="M403" s="436"/>
      <c r="N403" s="436"/>
      <c r="O403" s="436"/>
      <c r="T403" s="437"/>
      <c r="U403" s="438"/>
      <c r="V403" s="438"/>
      <c r="W403" s="438"/>
      <c r="X403" s="438"/>
      <c r="Y403" s="439"/>
      <c r="Z403" s="163"/>
      <c r="AA403" s="165"/>
      <c r="AB403" s="165"/>
      <c r="AC403" s="165"/>
      <c r="AD403" s="165"/>
      <c r="AE403" s="165"/>
      <c r="AF403" s="165"/>
      <c r="AG403" s="165"/>
      <c r="AH403" s="165"/>
      <c r="AI403" s="165"/>
      <c r="AJ403" s="165"/>
      <c r="AK403" s="165"/>
      <c r="AL403" s="165"/>
      <c r="AM403" s="165"/>
      <c r="AN403" s="165"/>
      <c r="AO403" s="165"/>
      <c r="AP403" s="165"/>
      <c r="AQ403" s="165"/>
    </row>
    <row r="404" ht="12.75" customHeight="1">
      <c r="A404" s="432"/>
      <c r="B404" s="433"/>
      <c r="C404" s="433"/>
      <c r="D404" s="433"/>
      <c r="E404" s="433"/>
      <c r="F404" s="433"/>
      <c r="G404" s="433"/>
      <c r="H404" s="434"/>
      <c r="J404" s="435"/>
      <c r="K404" s="435"/>
      <c r="L404" s="436"/>
      <c r="M404" s="436"/>
      <c r="N404" s="436"/>
      <c r="O404" s="436"/>
      <c r="T404" s="437"/>
      <c r="U404" s="438"/>
      <c r="V404" s="438"/>
      <c r="W404" s="438"/>
      <c r="X404" s="438"/>
      <c r="Y404" s="439"/>
      <c r="Z404" s="163"/>
      <c r="AA404" s="165"/>
      <c r="AB404" s="165"/>
      <c r="AC404" s="165"/>
      <c r="AD404" s="165"/>
      <c r="AE404" s="165"/>
      <c r="AF404" s="165"/>
      <c r="AG404" s="165"/>
      <c r="AH404" s="165"/>
      <c r="AI404" s="165"/>
      <c r="AJ404" s="165"/>
      <c r="AK404" s="165"/>
      <c r="AL404" s="165"/>
      <c r="AM404" s="165"/>
      <c r="AN404" s="165"/>
      <c r="AO404" s="165"/>
      <c r="AP404" s="165"/>
      <c r="AQ404" s="165"/>
    </row>
    <row r="405" ht="12.75" customHeight="1">
      <c r="A405" s="432"/>
      <c r="B405" s="433"/>
      <c r="C405" s="433"/>
      <c r="D405" s="433"/>
      <c r="E405" s="433"/>
      <c r="F405" s="433"/>
      <c r="G405" s="433"/>
      <c r="H405" s="434"/>
      <c r="J405" s="435"/>
      <c r="K405" s="435"/>
      <c r="L405" s="436"/>
      <c r="M405" s="436"/>
      <c r="N405" s="436"/>
      <c r="O405" s="436"/>
      <c r="T405" s="437"/>
      <c r="U405" s="438"/>
      <c r="V405" s="438"/>
      <c r="W405" s="438"/>
      <c r="X405" s="438"/>
      <c r="Y405" s="439"/>
      <c r="Z405" s="163"/>
      <c r="AA405" s="165"/>
      <c r="AB405" s="165"/>
      <c r="AC405" s="165"/>
      <c r="AD405" s="165"/>
      <c r="AE405" s="165"/>
      <c r="AF405" s="165"/>
      <c r="AG405" s="165"/>
      <c r="AH405" s="165"/>
      <c r="AI405" s="165"/>
      <c r="AJ405" s="165"/>
      <c r="AK405" s="165"/>
      <c r="AL405" s="165"/>
      <c r="AM405" s="165"/>
      <c r="AN405" s="165"/>
      <c r="AO405" s="165"/>
      <c r="AP405" s="165"/>
      <c r="AQ405" s="165"/>
    </row>
    <row r="406" ht="12.75" customHeight="1">
      <c r="A406" s="432"/>
      <c r="B406" s="433"/>
      <c r="C406" s="433"/>
      <c r="D406" s="433"/>
      <c r="E406" s="433"/>
      <c r="F406" s="433"/>
      <c r="G406" s="433"/>
      <c r="H406" s="434"/>
      <c r="J406" s="435"/>
      <c r="K406" s="435"/>
      <c r="L406" s="436"/>
      <c r="M406" s="436"/>
      <c r="N406" s="436"/>
      <c r="O406" s="436"/>
      <c r="T406" s="437"/>
      <c r="U406" s="438"/>
      <c r="V406" s="438"/>
      <c r="W406" s="438"/>
      <c r="X406" s="438"/>
      <c r="Y406" s="439"/>
      <c r="Z406" s="163"/>
      <c r="AA406" s="165"/>
      <c r="AB406" s="165"/>
      <c r="AC406" s="165"/>
      <c r="AD406" s="165"/>
      <c r="AE406" s="165"/>
      <c r="AF406" s="165"/>
      <c r="AG406" s="165"/>
      <c r="AH406" s="165"/>
      <c r="AI406" s="165"/>
      <c r="AJ406" s="165"/>
      <c r="AK406" s="165"/>
      <c r="AL406" s="165"/>
      <c r="AM406" s="165"/>
      <c r="AN406" s="165"/>
      <c r="AO406" s="165"/>
      <c r="AP406" s="165"/>
      <c r="AQ406" s="165"/>
    </row>
    <row r="407" ht="12.75" customHeight="1">
      <c r="A407" s="432"/>
      <c r="B407" s="433"/>
      <c r="C407" s="433"/>
      <c r="D407" s="433"/>
      <c r="E407" s="433"/>
      <c r="F407" s="433"/>
      <c r="G407" s="433"/>
      <c r="H407" s="434"/>
      <c r="J407" s="435"/>
      <c r="K407" s="435"/>
      <c r="L407" s="436"/>
      <c r="M407" s="436"/>
      <c r="N407" s="436"/>
      <c r="O407" s="436"/>
      <c r="T407" s="437"/>
      <c r="U407" s="438"/>
      <c r="V407" s="438"/>
      <c r="W407" s="438"/>
      <c r="X407" s="438"/>
      <c r="Y407" s="439"/>
      <c r="Z407" s="163"/>
      <c r="AA407" s="165"/>
      <c r="AB407" s="165"/>
      <c r="AC407" s="165"/>
      <c r="AD407" s="165"/>
      <c r="AE407" s="165"/>
      <c r="AF407" s="165"/>
      <c r="AG407" s="165"/>
      <c r="AH407" s="165"/>
      <c r="AI407" s="165"/>
      <c r="AJ407" s="165"/>
      <c r="AK407" s="165"/>
      <c r="AL407" s="165"/>
      <c r="AM407" s="165"/>
      <c r="AN407" s="165"/>
      <c r="AO407" s="165"/>
      <c r="AP407" s="165"/>
      <c r="AQ407" s="165"/>
    </row>
    <row r="408" ht="12.75" customHeight="1">
      <c r="A408" s="432"/>
      <c r="B408" s="433"/>
      <c r="C408" s="433"/>
      <c r="D408" s="433"/>
      <c r="E408" s="433"/>
      <c r="F408" s="433"/>
      <c r="G408" s="433"/>
      <c r="H408" s="434"/>
      <c r="J408" s="435"/>
      <c r="K408" s="435"/>
      <c r="L408" s="436"/>
      <c r="M408" s="436"/>
      <c r="N408" s="436"/>
      <c r="O408" s="436"/>
      <c r="T408" s="437"/>
      <c r="U408" s="438"/>
      <c r="V408" s="438"/>
      <c r="W408" s="438"/>
      <c r="X408" s="438"/>
      <c r="Y408" s="439"/>
      <c r="Z408" s="163"/>
      <c r="AA408" s="165"/>
      <c r="AB408" s="165"/>
      <c r="AC408" s="165"/>
      <c r="AD408" s="165"/>
      <c r="AE408" s="165"/>
      <c r="AF408" s="165"/>
      <c r="AG408" s="165"/>
      <c r="AH408" s="165"/>
      <c r="AI408" s="165"/>
      <c r="AJ408" s="165"/>
      <c r="AK408" s="165"/>
      <c r="AL408" s="165"/>
      <c r="AM408" s="165"/>
      <c r="AN408" s="165"/>
      <c r="AO408" s="165"/>
      <c r="AP408" s="165"/>
      <c r="AQ408" s="165"/>
    </row>
    <row r="409" ht="12.75" customHeight="1">
      <c r="A409" s="432"/>
      <c r="B409" s="433"/>
      <c r="C409" s="433"/>
      <c r="D409" s="433"/>
      <c r="E409" s="433"/>
      <c r="F409" s="433"/>
      <c r="G409" s="433"/>
      <c r="H409" s="434"/>
      <c r="J409" s="435"/>
      <c r="K409" s="435"/>
      <c r="L409" s="436"/>
      <c r="M409" s="436"/>
      <c r="N409" s="436"/>
      <c r="O409" s="436"/>
      <c r="T409" s="437"/>
      <c r="U409" s="438"/>
      <c r="V409" s="438"/>
      <c r="W409" s="438"/>
      <c r="X409" s="438"/>
      <c r="Y409" s="439"/>
      <c r="Z409" s="163"/>
      <c r="AA409" s="165"/>
      <c r="AB409" s="165"/>
      <c r="AC409" s="165"/>
      <c r="AD409" s="165"/>
      <c r="AE409" s="165"/>
      <c r="AF409" s="165"/>
      <c r="AG409" s="165"/>
      <c r="AH409" s="165"/>
      <c r="AI409" s="165"/>
      <c r="AJ409" s="165"/>
      <c r="AK409" s="165"/>
      <c r="AL409" s="165"/>
      <c r="AM409" s="165"/>
      <c r="AN409" s="165"/>
      <c r="AO409" s="165"/>
      <c r="AP409" s="165"/>
      <c r="AQ409" s="165"/>
    </row>
    <row r="410" ht="12.75" customHeight="1">
      <c r="A410" s="432"/>
      <c r="B410" s="433"/>
      <c r="C410" s="433"/>
      <c r="D410" s="433"/>
      <c r="E410" s="433"/>
      <c r="F410" s="433"/>
      <c r="G410" s="433"/>
      <c r="H410" s="434"/>
      <c r="J410" s="435"/>
      <c r="K410" s="435"/>
      <c r="L410" s="436"/>
      <c r="M410" s="436"/>
      <c r="N410" s="436"/>
      <c r="O410" s="436"/>
      <c r="T410" s="437"/>
      <c r="U410" s="438"/>
      <c r="V410" s="438"/>
      <c r="W410" s="438"/>
      <c r="X410" s="438"/>
      <c r="Y410" s="439"/>
      <c r="Z410" s="163"/>
      <c r="AA410" s="165"/>
      <c r="AB410" s="165"/>
      <c r="AC410" s="165"/>
      <c r="AD410" s="165"/>
      <c r="AE410" s="165"/>
      <c r="AF410" s="165"/>
      <c r="AG410" s="165"/>
      <c r="AH410" s="165"/>
      <c r="AI410" s="165"/>
      <c r="AJ410" s="165"/>
      <c r="AK410" s="165"/>
      <c r="AL410" s="165"/>
      <c r="AM410" s="165"/>
      <c r="AN410" s="165"/>
      <c r="AO410" s="165"/>
      <c r="AP410" s="165"/>
      <c r="AQ410" s="165"/>
    </row>
    <row r="411" ht="12.75" customHeight="1">
      <c r="A411" s="432"/>
      <c r="B411" s="433"/>
      <c r="C411" s="433"/>
      <c r="D411" s="433"/>
      <c r="E411" s="433"/>
      <c r="F411" s="433"/>
      <c r="G411" s="433"/>
      <c r="H411" s="434"/>
      <c r="J411" s="435"/>
      <c r="K411" s="435"/>
      <c r="L411" s="436"/>
      <c r="M411" s="436"/>
      <c r="N411" s="436"/>
      <c r="O411" s="436"/>
      <c r="T411" s="437"/>
      <c r="U411" s="438"/>
      <c r="V411" s="438"/>
      <c r="W411" s="438"/>
      <c r="X411" s="438"/>
      <c r="Y411" s="439"/>
      <c r="Z411" s="163"/>
      <c r="AA411" s="165"/>
      <c r="AB411" s="165"/>
      <c r="AC411" s="165"/>
      <c r="AD411" s="165"/>
      <c r="AE411" s="165"/>
      <c r="AF411" s="165"/>
      <c r="AG411" s="165"/>
      <c r="AH411" s="165"/>
      <c r="AI411" s="165"/>
      <c r="AJ411" s="165"/>
      <c r="AK411" s="165"/>
      <c r="AL411" s="165"/>
      <c r="AM411" s="165"/>
      <c r="AN411" s="165"/>
      <c r="AO411" s="165"/>
      <c r="AP411" s="165"/>
      <c r="AQ411" s="165"/>
    </row>
    <row r="412" ht="12.75" customHeight="1">
      <c r="A412" s="432"/>
      <c r="B412" s="433"/>
      <c r="C412" s="433"/>
      <c r="D412" s="433"/>
      <c r="E412" s="433"/>
      <c r="F412" s="433"/>
      <c r="G412" s="433"/>
      <c r="H412" s="434"/>
      <c r="J412" s="435"/>
      <c r="K412" s="435"/>
      <c r="L412" s="436"/>
      <c r="M412" s="436"/>
      <c r="N412" s="436"/>
      <c r="O412" s="436"/>
      <c r="T412" s="437"/>
      <c r="U412" s="438"/>
      <c r="V412" s="438"/>
      <c r="W412" s="438"/>
      <c r="X412" s="438"/>
      <c r="Y412" s="439"/>
      <c r="Z412" s="163"/>
      <c r="AA412" s="165"/>
      <c r="AB412" s="165"/>
      <c r="AC412" s="165"/>
      <c r="AD412" s="165"/>
      <c r="AE412" s="165"/>
      <c r="AF412" s="165"/>
      <c r="AG412" s="165"/>
      <c r="AH412" s="165"/>
      <c r="AI412" s="165"/>
      <c r="AJ412" s="165"/>
      <c r="AK412" s="165"/>
      <c r="AL412" s="165"/>
      <c r="AM412" s="165"/>
      <c r="AN412" s="165"/>
      <c r="AO412" s="165"/>
      <c r="AP412" s="165"/>
      <c r="AQ412" s="165"/>
    </row>
    <row r="413" ht="12.75" customHeight="1">
      <c r="A413" s="432"/>
      <c r="B413" s="433"/>
      <c r="C413" s="433"/>
      <c r="D413" s="433"/>
      <c r="E413" s="433"/>
      <c r="F413" s="433"/>
      <c r="G413" s="433"/>
      <c r="H413" s="434"/>
      <c r="J413" s="435"/>
      <c r="K413" s="435"/>
      <c r="L413" s="436"/>
      <c r="M413" s="436"/>
      <c r="N413" s="436"/>
      <c r="O413" s="436"/>
      <c r="T413" s="437"/>
      <c r="U413" s="438"/>
      <c r="V413" s="438"/>
      <c r="W413" s="438"/>
      <c r="X413" s="438"/>
      <c r="Y413" s="439"/>
      <c r="Z413" s="163"/>
      <c r="AA413" s="165"/>
      <c r="AB413" s="165"/>
      <c r="AC413" s="165"/>
      <c r="AD413" s="165"/>
      <c r="AE413" s="165"/>
      <c r="AF413" s="165"/>
      <c r="AG413" s="165"/>
      <c r="AH413" s="165"/>
      <c r="AI413" s="165"/>
      <c r="AJ413" s="165"/>
      <c r="AK413" s="165"/>
      <c r="AL413" s="165"/>
      <c r="AM413" s="165"/>
      <c r="AN413" s="165"/>
      <c r="AO413" s="165"/>
      <c r="AP413" s="165"/>
      <c r="AQ413" s="165"/>
    </row>
    <row r="414" ht="12.75" customHeight="1">
      <c r="A414" s="432"/>
      <c r="B414" s="433"/>
      <c r="C414" s="433"/>
      <c r="D414" s="433"/>
      <c r="E414" s="433"/>
      <c r="F414" s="433"/>
      <c r="G414" s="433"/>
      <c r="H414" s="434"/>
      <c r="J414" s="435"/>
      <c r="K414" s="435"/>
      <c r="L414" s="436"/>
      <c r="M414" s="436"/>
      <c r="N414" s="436"/>
      <c r="O414" s="436"/>
      <c r="T414" s="437"/>
      <c r="U414" s="438"/>
      <c r="V414" s="438"/>
      <c r="W414" s="438"/>
      <c r="X414" s="438"/>
      <c r="Y414" s="439"/>
      <c r="Z414" s="163"/>
      <c r="AA414" s="165"/>
      <c r="AB414" s="165"/>
      <c r="AC414" s="165"/>
      <c r="AD414" s="165"/>
      <c r="AE414" s="165"/>
      <c r="AF414" s="165"/>
      <c r="AG414" s="165"/>
      <c r="AH414" s="165"/>
      <c r="AI414" s="165"/>
      <c r="AJ414" s="165"/>
      <c r="AK414" s="165"/>
      <c r="AL414" s="165"/>
      <c r="AM414" s="165"/>
      <c r="AN414" s="165"/>
      <c r="AO414" s="165"/>
      <c r="AP414" s="165"/>
      <c r="AQ414" s="165"/>
    </row>
    <row r="415" ht="12.75" customHeight="1">
      <c r="A415" s="432"/>
      <c r="B415" s="433"/>
      <c r="C415" s="433"/>
      <c r="D415" s="433"/>
      <c r="E415" s="433"/>
      <c r="F415" s="433"/>
      <c r="G415" s="433"/>
      <c r="H415" s="434"/>
      <c r="J415" s="435"/>
      <c r="K415" s="435"/>
      <c r="L415" s="436"/>
      <c r="M415" s="436"/>
      <c r="N415" s="436"/>
      <c r="O415" s="436"/>
      <c r="T415" s="437"/>
      <c r="U415" s="438"/>
      <c r="V415" s="438"/>
      <c r="W415" s="438"/>
      <c r="X415" s="438"/>
      <c r="Y415" s="439"/>
      <c r="Z415" s="163"/>
      <c r="AA415" s="165"/>
      <c r="AB415" s="165"/>
      <c r="AC415" s="165"/>
      <c r="AD415" s="165"/>
      <c r="AE415" s="165"/>
      <c r="AF415" s="165"/>
      <c r="AG415" s="165"/>
      <c r="AH415" s="165"/>
      <c r="AI415" s="165"/>
      <c r="AJ415" s="165"/>
      <c r="AK415" s="165"/>
      <c r="AL415" s="165"/>
      <c r="AM415" s="165"/>
      <c r="AN415" s="165"/>
      <c r="AO415" s="165"/>
      <c r="AP415" s="165"/>
      <c r="AQ415" s="165"/>
    </row>
    <row r="416" ht="12.75" customHeight="1">
      <c r="A416" s="432"/>
      <c r="B416" s="433"/>
      <c r="C416" s="433"/>
      <c r="D416" s="433"/>
      <c r="E416" s="433"/>
      <c r="F416" s="433"/>
      <c r="G416" s="433"/>
      <c r="H416" s="434"/>
      <c r="J416" s="435"/>
      <c r="K416" s="435"/>
      <c r="L416" s="436"/>
      <c r="M416" s="436"/>
      <c r="N416" s="436"/>
      <c r="O416" s="436"/>
      <c r="T416" s="437"/>
      <c r="U416" s="438"/>
      <c r="V416" s="438"/>
      <c r="W416" s="438"/>
      <c r="X416" s="438"/>
      <c r="Y416" s="439"/>
      <c r="Z416" s="163"/>
      <c r="AA416" s="165"/>
      <c r="AB416" s="165"/>
      <c r="AC416" s="165"/>
      <c r="AD416" s="165"/>
      <c r="AE416" s="165"/>
      <c r="AF416" s="165"/>
      <c r="AG416" s="165"/>
      <c r="AH416" s="165"/>
      <c r="AI416" s="165"/>
      <c r="AJ416" s="165"/>
      <c r="AK416" s="165"/>
      <c r="AL416" s="165"/>
      <c r="AM416" s="165"/>
      <c r="AN416" s="165"/>
      <c r="AO416" s="165"/>
      <c r="AP416" s="165"/>
      <c r="AQ416" s="165"/>
    </row>
    <row r="417" ht="12.75" customHeight="1">
      <c r="A417" s="432"/>
      <c r="B417" s="433"/>
      <c r="C417" s="433"/>
      <c r="D417" s="433"/>
      <c r="E417" s="433"/>
      <c r="F417" s="433"/>
      <c r="G417" s="433"/>
      <c r="H417" s="434"/>
      <c r="J417" s="435"/>
      <c r="K417" s="435"/>
      <c r="L417" s="436"/>
      <c r="M417" s="436"/>
      <c r="N417" s="436"/>
      <c r="O417" s="436"/>
      <c r="T417" s="437"/>
      <c r="U417" s="438"/>
      <c r="V417" s="438"/>
      <c r="W417" s="438"/>
      <c r="X417" s="438"/>
      <c r="Y417" s="439"/>
      <c r="Z417" s="163"/>
      <c r="AA417" s="165"/>
      <c r="AB417" s="165"/>
      <c r="AC417" s="165"/>
      <c r="AD417" s="165"/>
      <c r="AE417" s="165"/>
      <c r="AF417" s="165"/>
      <c r="AG417" s="165"/>
      <c r="AH417" s="165"/>
      <c r="AI417" s="165"/>
      <c r="AJ417" s="165"/>
      <c r="AK417" s="165"/>
      <c r="AL417" s="165"/>
      <c r="AM417" s="165"/>
      <c r="AN417" s="165"/>
      <c r="AO417" s="165"/>
      <c r="AP417" s="165"/>
      <c r="AQ417" s="165"/>
    </row>
    <row r="418" ht="12.75" customHeight="1">
      <c r="A418" s="432"/>
      <c r="B418" s="433"/>
      <c r="C418" s="433"/>
      <c r="D418" s="433"/>
      <c r="E418" s="433"/>
      <c r="F418" s="433"/>
      <c r="G418" s="433"/>
      <c r="H418" s="434"/>
      <c r="J418" s="435"/>
      <c r="K418" s="435"/>
      <c r="L418" s="436"/>
      <c r="M418" s="436"/>
      <c r="N418" s="436"/>
      <c r="O418" s="436"/>
      <c r="T418" s="437"/>
      <c r="U418" s="438"/>
      <c r="V418" s="438"/>
      <c r="W418" s="438"/>
      <c r="X418" s="438"/>
      <c r="Y418" s="439"/>
      <c r="Z418" s="163"/>
      <c r="AA418" s="165"/>
      <c r="AB418" s="165"/>
      <c r="AC418" s="165"/>
      <c r="AD418" s="165"/>
      <c r="AE418" s="165"/>
      <c r="AF418" s="165"/>
      <c r="AG418" s="165"/>
      <c r="AH418" s="165"/>
      <c r="AI418" s="165"/>
      <c r="AJ418" s="165"/>
      <c r="AK418" s="165"/>
      <c r="AL418" s="165"/>
      <c r="AM418" s="165"/>
      <c r="AN418" s="165"/>
      <c r="AO418" s="165"/>
      <c r="AP418" s="165"/>
      <c r="AQ418" s="165"/>
    </row>
    <row r="419" ht="12.75" customHeight="1">
      <c r="A419" s="432"/>
      <c r="B419" s="433"/>
      <c r="C419" s="433"/>
      <c r="D419" s="433"/>
      <c r="E419" s="433"/>
      <c r="F419" s="433"/>
      <c r="G419" s="433"/>
      <c r="H419" s="434"/>
      <c r="J419" s="435"/>
      <c r="K419" s="435"/>
      <c r="L419" s="436"/>
      <c r="M419" s="436"/>
      <c r="N419" s="436"/>
      <c r="O419" s="436"/>
      <c r="T419" s="437"/>
      <c r="U419" s="438"/>
      <c r="V419" s="438"/>
      <c r="W419" s="438"/>
      <c r="X419" s="438"/>
      <c r="Y419" s="439"/>
      <c r="Z419" s="163"/>
      <c r="AA419" s="165"/>
      <c r="AB419" s="165"/>
      <c r="AC419" s="165"/>
      <c r="AD419" s="165"/>
      <c r="AE419" s="165"/>
      <c r="AF419" s="165"/>
      <c r="AG419" s="165"/>
      <c r="AH419" s="165"/>
      <c r="AI419" s="165"/>
      <c r="AJ419" s="165"/>
      <c r="AK419" s="165"/>
      <c r="AL419" s="165"/>
      <c r="AM419" s="165"/>
      <c r="AN419" s="165"/>
      <c r="AO419" s="165"/>
      <c r="AP419" s="165"/>
      <c r="AQ419" s="165"/>
    </row>
    <row r="420" ht="12.75" customHeight="1">
      <c r="A420" s="432"/>
      <c r="B420" s="433"/>
      <c r="C420" s="433"/>
      <c r="D420" s="433"/>
      <c r="E420" s="433"/>
      <c r="F420" s="433"/>
      <c r="G420" s="433"/>
      <c r="H420" s="434"/>
      <c r="J420" s="435"/>
      <c r="K420" s="435"/>
      <c r="L420" s="436"/>
      <c r="M420" s="436"/>
      <c r="N420" s="436"/>
      <c r="O420" s="436"/>
      <c r="T420" s="437"/>
      <c r="U420" s="438"/>
      <c r="V420" s="438"/>
      <c r="W420" s="438"/>
      <c r="X420" s="438"/>
      <c r="Y420" s="439"/>
      <c r="Z420" s="163"/>
      <c r="AA420" s="165"/>
      <c r="AB420" s="165"/>
      <c r="AC420" s="165"/>
      <c r="AD420" s="165"/>
      <c r="AE420" s="165"/>
      <c r="AF420" s="165"/>
      <c r="AG420" s="165"/>
      <c r="AH420" s="165"/>
      <c r="AI420" s="165"/>
      <c r="AJ420" s="165"/>
      <c r="AK420" s="165"/>
      <c r="AL420" s="165"/>
      <c r="AM420" s="165"/>
      <c r="AN420" s="165"/>
      <c r="AO420" s="165"/>
      <c r="AP420" s="165"/>
      <c r="AQ420" s="165"/>
    </row>
    <row r="421" ht="12.75" customHeight="1">
      <c r="A421" s="432"/>
      <c r="B421" s="433"/>
      <c r="C421" s="433"/>
      <c r="D421" s="433"/>
      <c r="E421" s="433"/>
      <c r="F421" s="433"/>
      <c r="G421" s="433"/>
      <c r="H421" s="434"/>
      <c r="J421" s="435"/>
      <c r="K421" s="435"/>
      <c r="L421" s="436"/>
      <c r="M421" s="436"/>
      <c r="N421" s="436"/>
      <c r="O421" s="436"/>
      <c r="T421" s="437"/>
      <c r="U421" s="438"/>
      <c r="V421" s="438"/>
      <c r="W421" s="438"/>
      <c r="X421" s="438"/>
      <c r="Y421" s="439"/>
      <c r="Z421" s="163"/>
      <c r="AA421" s="165"/>
      <c r="AB421" s="165"/>
      <c r="AC421" s="165"/>
      <c r="AD421" s="165"/>
      <c r="AE421" s="165"/>
      <c r="AF421" s="165"/>
      <c r="AG421" s="165"/>
      <c r="AH421" s="165"/>
      <c r="AI421" s="165"/>
      <c r="AJ421" s="165"/>
      <c r="AK421" s="165"/>
      <c r="AL421" s="165"/>
      <c r="AM421" s="165"/>
      <c r="AN421" s="165"/>
      <c r="AO421" s="165"/>
      <c r="AP421" s="165"/>
      <c r="AQ421" s="165"/>
    </row>
    <row r="422" ht="12.75" customHeight="1">
      <c r="A422" s="432"/>
      <c r="B422" s="433"/>
      <c r="C422" s="433"/>
      <c r="D422" s="433"/>
      <c r="E422" s="433"/>
      <c r="F422" s="433"/>
      <c r="G422" s="433"/>
      <c r="H422" s="434"/>
      <c r="J422" s="435"/>
      <c r="K422" s="435"/>
      <c r="L422" s="436"/>
      <c r="M422" s="436"/>
      <c r="N422" s="436"/>
      <c r="O422" s="436"/>
      <c r="T422" s="437"/>
      <c r="U422" s="438"/>
      <c r="V422" s="438"/>
      <c r="W422" s="438"/>
      <c r="X422" s="438"/>
      <c r="Y422" s="439"/>
      <c r="Z422" s="163"/>
      <c r="AA422" s="165"/>
      <c r="AB422" s="165"/>
      <c r="AC422" s="165"/>
      <c r="AD422" s="165"/>
      <c r="AE422" s="165"/>
      <c r="AF422" s="165"/>
      <c r="AG422" s="165"/>
      <c r="AH422" s="165"/>
      <c r="AI422" s="165"/>
      <c r="AJ422" s="165"/>
      <c r="AK422" s="165"/>
      <c r="AL422" s="165"/>
      <c r="AM422" s="165"/>
      <c r="AN422" s="165"/>
      <c r="AO422" s="165"/>
      <c r="AP422" s="165"/>
      <c r="AQ422" s="165"/>
    </row>
    <row r="423" ht="12.75" customHeight="1">
      <c r="A423" s="432"/>
      <c r="B423" s="433"/>
      <c r="C423" s="433"/>
      <c r="D423" s="433"/>
      <c r="E423" s="433"/>
      <c r="F423" s="433"/>
      <c r="G423" s="433"/>
      <c r="H423" s="434"/>
      <c r="J423" s="435"/>
      <c r="K423" s="435"/>
      <c r="L423" s="436"/>
      <c r="M423" s="436"/>
      <c r="N423" s="436"/>
      <c r="O423" s="436"/>
      <c r="T423" s="437"/>
      <c r="U423" s="438"/>
      <c r="V423" s="438"/>
      <c r="W423" s="438"/>
      <c r="X423" s="438"/>
      <c r="Y423" s="439"/>
      <c r="Z423" s="163"/>
      <c r="AA423" s="165"/>
      <c r="AB423" s="165"/>
      <c r="AC423" s="165"/>
      <c r="AD423" s="165"/>
      <c r="AE423" s="165"/>
      <c r="AF423" s="165"/>
      <c r="AG423" s="165"/>
      <c r="AH423" s="165"/>
      <c r="AI423" s="165"/>
      <c r="AJ423" s="165"/>
      <c r="AK423" s="165"/>
      <c r="AL423" s="165"/>
      <c r="AM423" s="165"/>
      <c r="AN423" s="165"/>
      <c r="AO423" s="165"/>
      <c r="AP423" s="165"/>
      <c r="AQ423" s="165"/>
    </row>
    <row r="424" ht="12.75" customHeight="1">
      <c r="A424" s="432"/>
      <c r="B424" s="433"/>
      <c r="C424" s="433"/>
      <c r="D424" s="433"/>
      <c r="E424" s="433"/>
      <c r="F424" s="433"/>
      <c r="G424" s="433"/>
      <c r="H424" s="434"/>
      <c r="J424" s="435"/>
      <c r="K424" s="435"/>
      <c r="L424" s="436"/>
      <c r="M424" s="436"/>
      <c r="N424" s="436"/>
      <c r="O424" s="436"/>
      <c r="T424" s="437"/>
      <c r="U424" s="438"/>
      <c r="V424" s="438"/>
      <c r="W424" s="438"/>
      <c r="X424" s="438"/>
      <c r="Y424" s="439"/>
      <c r="Z424" s="163"/>
      <c r="AA424" s="165"/>
      <c r="AB424" s="165"/>
      <c r="AC424" s="165"/>
      <c r="AD424" s="165"/>
      <c r="AE424" s="165"/>
      <c r="AF424" s="165"/>
      <c r="AG424" s="165"/>
      <c r="AH424" s="165"/>
      <c r="AI424" s="165"/>
      <c r="AJ424" s="165"/>
      <c r="AK424" s="165"/>
      <c r="AL424" s="165"/>
      <c r="AM424" s="165"/>
      <c r="AN424" s="165"/>
      <c r="AO424" s="165"/>
      <c r="AP424" s="165"/>
      <c r="AQ424" s="165"/>
    </row>
    <row r="425" ht="12.75" customHeight="1">
      <c r="A425" s="432"/>
      <c r="B425" s="433"/>
      <c r="C425" s="433"/>
      <c r="D425" s="433"/>
      <c r="E425" s="433"/>
      <c r="F425" s="433"/>
      <c r="G425" s="433"/>
      <c r="H425" s="434"/>
      <c r="J425" s="435"/>
      <c r="K425" s="435"/>
      <c r="L425" s="436"/>
      <c r="M425" s="436"/>
      <c r="N425" s="436"/>
      <c r="O425" s="436"/>
      <c r="T425" s="437"/>
      <c r="U425" s="438"/>
      <c r="V425" s="438"/>
      <c r="W425" s="438"/>
      <c r="X425" s="438"/>
      <c r="Y425" s="439"/>
      <c r="Z425" s="163"/>
      <c r="AA425" s="165"/>
      <c r="AB425" s="165"/>
      <c r="AC425" s="165"/>
      <c r="AD425" s="165"/>
      <c r="AE425" s="165"/>
      <c r="AF425" s="165"/>
      <c r="AG425" s="165"/>
      <c r="AH425" s="165"/>
      <c r="AI425" s="165"/>
      <c r="AJ425" s="165"/>
      <c r="AK425" s="165"/>
      <c r="AL425" s="165"/>
      <c r="AM425" s="165"/>
      <c r="AN425" s="165"/>
      <c r="AO425" s="165"/>
      <c r="AP425" s="165"/>
      <c r="AQ425" s="165"/>
    </row>
    <row r="426" ht="12.75" customHeight="1">
      <c r="A426" s="432"/>
      <c r="B426" s="433"/>
      <c r="C426" s="433"/>
      <c r="D426" s="433"/>
      <c r="E426" s="433"/>
      <c r="F426" s="433"/>
      <c r="G426" s="433"/>
      <c r="H426" s="434"/>
      <c r="J426" s="435"/>
      <c r="K426" s="435"/>
      <c r="L426" s="436"/>
      <c r="M426" s="436"/>
      <c r="N426" s="436"/>
      <c r="O426" s="436"/>
      <c r="T426" s="437"/>
      <c r="U426" s="438"/>
      <c r="V426" s="438"/>
      <c r="W426" s="438"/>
      <c r="X426" s="438"/>
      <c r="Y426" s="439"/>
      <c r="Z426" s="163"/>
      <c r="AA426" s="165"/>
      <c r="AB426" s="165"/>
      <c r="AC426" s="165"/>
      <c r="AD426" s="165"/>
      <c r="AE426" s="165"/>
      <c r="AF426" s="165"/>
      <c r="AG426" s="165"/>
      <c r="AH426" s="165"/>
      <c r="AI426" s="165"/>
      <c r="AJ426" s="165"/>
      <c r="AK426" s="165"/>
      <c r="AL426" s="165"/>
      <c r="AM426" s="165"/>
      <c r="AN426" s="165"/>
      <c r="AO426" s="165"/>
      <c r="AP426" s="165"/>
      <c r="AQ426" s="165"/>
    </row>
    <row r="427" ht="12.75" customHeight="1">
      <c r="A427" s="432"/>
      <c r="B427" s="433"/>
      <c r="C427" s="433"/>
      <c r="D427" s="433"/>
      <c r="E427" s="433"/>
      <c r="F427" s="433"/>
      <c r="G427" s="433"/>
      <c r="H427" s="434"/>
      <c r="J427" s="435"/>
      <c r="K427" s="435"/>
      <c r="L427" s="436"/>
      <c r="M427" s="436"/>
      <c r="N427" s="436"/>
      <c r="O427" s="436"/>
      <c r="T427" s="437"/>
      <c r="U427" s="438"/>
      <c r="V427" s="438"/>
      <c r="W427" s="438"/>
      <c r="X427" s="438"/>
      <c r="Y427" s="439"/>
      <c r="Z427" s="163"/>
      <c r="AA427" s="165"/>
      <c r="AB427" s="165"/>
      <c r="AC427" s="165"/>
      <c r="AD427" s="165"/>
      <c r="AE427" s="165"/>
      <c r="AF427" s="165"/>
      <c r="AG427" s="165"/>
      <c r="AH427" s="165"/>
      <c r="AI427" s="165"/>
      <c r="AJ427" s="165"/>
      <c r="AK427" s="165"/>
      <c r="AL427" s="165"/>
      <c r="AM427" s="165"/>
      <c r="AN427" s="165"/>
      <c r="AO427" s="165"/>
      <c r="AP427" s="165"/>
      <c r="AQ427" s="165"/>
    </row>
    <row r="428" ht="12.75" customHeight="1">
      <c r="A428" s="432"/>
      <c r="B428" s="433"/>
      <c r="C428" s="433"/>
      <c r="D428" s="433"/>
      <c r="E428" s="433"/>
      <c r="F428" s="433"/>
      <c r="G428" s="433"/>
      <c r="H428" s="434"/>
      <c r="J428" s="435"/>
      <c r="K428" s="435"/>
      <c r="L428" s="436"/>
      <c r="M428" s="436"/>
      <c r="N428" s="436"/>
      <c r="O428" s="436"/>
      <c r="T428" s="437"/>
      <c r="U428" s="438"/>
      <c r="V428" s="438"/>
      <c r="W428" s="438"/>
      <c r="X428" s="438"/>
      <c r="Y428" s="439"/>
      <c r="Z428" s="163"/>
      <c r="AA428" s="165"/>
      <c r="AB428" s="165"/>
      <c r="AC428" s="165"/>
      <c r="AD428" s="165"/>
      <c r="AE428" s="165"/>
      <c r="AF428" s="165"/>
      <c r="AG428" s="165"/>
      <c r="AH428" s="165"/>
      <c r="AI428" s="165"/>
      <c r="AJ428" s="165"/>
      <c r="AK428" s="165"/>
      <c r="AL428" s="165"/>
      <c r="AM428" s="165"/>
      <c r="AN428" s="165"/>
      <c r="AO428" s="165"/>
      <c r="AP428" s="165"/>
      <c r="AQ428" s="165"/>
    </row>
    <row r="429" ht="12.75" customHeight="1">
      <c r="A429" s="432"/>
      <c r="B429" s="433"/>
      <c r="C429" s="433"/>
      <c r="D429" s="433"/>
      <c r="E429" s="433"/>
      <c r="F429" s="433"/>
      <c r="G429" s="433"/>
      <c r="H429" s="434"/>
      <c r="J429" s="435"/>
      <c r="K429" s="435"/>
      <c r="L429" s="436"/>
      <c r="M429" s="436"/>
      <c r="N429" s="436"/>
      <c r="O429" s="436"/>
      <c r="T429" s="437"/>
      <c r="U429" s="438"/>
      <c r="V429" s="438"/>
      <c r="W429" s="438"/>
      <c r="X429" s="438"/>
      <c r="Y429" s="439"/>
      <c r="Z429" s="163"/>
      <c r="AA429" s="165"/>
      <c r="AB429" s="165"/>
      <c r="AC429" s="165"/>
      <c r="AD429" s="165"/>
      <c r="AE429" s="165"/>
      <c r="AF429" s="165"/>
      <c r="AG429" s="165"/>
      <c r="AH429" s="165"/>
      <c r="AI429" s="165"/>
      <c r="AJ429" s="165"/>
      <c r="AK429" s="165"/>
      <c r="AL429" s="165"/>
      <c r="AM429" s="165"/>
      <c r="AN429" s="165"/>
      <c r="AO429" s="165"/>
      <c r="AP429" s="165"/>
      <c r="AQ429" s="165"/>
    </row>
    <row r="430" ht="12.75" customHeight="1">
      <c r="A430" s="432"/>
      <c r="B430" s="433"/>
      <c r="C430" s="433"/>
      <c r="D430" s="433"/>
      <c r="E430" s="433"/>
      <c r="F430" s="433"/>
      <c r="G430" s="433"/>
      <c r="H430" s="434"/>
      <c r="J430" s="435"/>
      <c r="K430" s="435"/>
      <c r="L430" s="436"/>
      <c r="M430" s="436"/>
      <c r="N430" s="436"/>
      <c r="O430" s="436"/>
      <c r="T430" s="437"/>
      <c r="U430" s="438"/>
      <c r="V430" s="438"/>
      <c r="W430" s="438"/>
      <c r="X430" s="438"/>
      <c r="Y430" s="439"/>
      <c r="Z430" s="163"/>
      <c r="AA430" s="165"/>
      <c r="AB430" s="165"/>
      <c r="AC430" s="165"/>
      <c r="AD430" s="165"/>
      <c r="AE430" s="165"/>
      <c r="AF430" s="165"/>
      <c r="AG430" s="165"/>
      <c r="AH430" s="165"/>
      <c r="AI430" s="165"/>
      <c r="AJ430" s="165"/>
      <c r="AK430" s="165"/>
      <c r="AL430" s="165"/>
      <c r="AM430" s="165"/>
      <c r="AN430" s="165"/>
      <c r="AO430" s="165"/>
      <c r="AP430" s="165"/>
      <c r="AQ430" s="165"/>
    </row>
    <row r="431" ht="12.75" customHeight="1">
      <c r="A431" s="432"/>
      <c r="B431" s="433"/>
      <c r="C431" s="433"/>
      <c r="D431" s="433"/>
      <c r="E431" s="433"/>
      <c r="F431" s="433"/>
      <c r="G431" s="433"/>
      <c r="H431" s="434"/>
      <c r="J431" s="435"/>
      <c r="K431" s="435"/>
      <c r="L431" s="436"/>
      <c r="M431" s="436"/>
      <c r="N431" s="436"/>
      <c r="O431" s="436"/>
      <c r="T431" s="437"/>
      <c r="U431" s="438"/>
      <c r="V431" s="438"/>
      <c r="W431" s="438"/>
      <c r="X431" s="438"/>
      <c r="Y431" s="439"/>
      <c r="Z431" s="163"/>
      <c r="AA431" s="165"/>
      <c r="AB431" s="165"/>
      <c r="AC431" s="165"/>
      <c r="AD431" s="165"/>
      <c r="AE431" s="165"/>
      <c r="AF431" s="165"/>
      <c r="AG431" s="165"/>
      <c r="AH431" s="165"/>
      <c r="AI431" s="165"/>
      <c r="AJ431" s="165"/>
      <c r="AK431" s="165"/>
      <c r="AL431" s="165"/>
      <c r="AM431" s="165"/>
      <c r="AN431" s="165"/>
      <c r="AO431" s="165"/>
      <c r="AP431" s="165"/>
      <c r="AQ431" s="165"/>
    </row>
    <row r="432" ht="12.75" customHeight="1">
      <c r="A432" s="432"/>
      <c r="B432" s="433"/>
      <c r="C432" s="433"/>
      <c r="D432" s="433"/>
      <c r="E432" s="433"/>
      <c r="F432" s="433"/>
      <c r="G432" s="433"/>
      <c r="H432" s="434"/>
      <c r="J432" s="435"/>
      <c r="K432" s="435"/>
      <c r="L432" s="436"/>
      <c r="M432" s="436"/>
      <c r="N432" s="436"/>
      <c r="O432" s="436"/>
      <c r="T432" s="437"/>
      <c r="U432" s="438"/>
      <c r="V432" s="438"/>
      <c r="W432" s="438"/>
      <c r="X432" s="438"/>
      <c r="Y432" s="439"/>
      <c r="Z432" s="163"/>
      <c r="AA432" s="165"/>
      <c r="AB432" s="165"/>
      <c r="AC432" s="165"/>
      <c r="AD432" s="165"/>
      <c r="AE432" s="165"/>
      <c r="AF432" s="165"/>
      <c r="AG432" s="165"/>
      <c r="AH432" s="165"/>
      <c r="AI432" s="165"/>
      <c r="AJ432" s="165"/>
      <c r="AK432" s="165"/>
      <c r="AL432" s="165"/>
      <c r="AM432" s="165"/>
      <c r="AN432" s="165"/>
      <c r="AO432" s="165"/>
      <c r="AP432" s="165"/>
      <c r="AQ432" s="165"/>
    </row>
    <row r="433" ht="12.75" customHeight="1">
      <c r="A433" s="432"/>
      <c r="B433" s="433"/>
      <c r="C433" s="433"/>
      <c r="D433" s="433"/>
      <c r="E433" s="433"/>
      <c r="F433" s="433"/>
      <c r="G433" s="433"/>
      <c r="H433" s="434"/>
      <c r="J433" s="435"/>
      <c r="K433" s="435"/>
      <c r="L433" s="436"/>
      <c r="M433" s="436"/>
      <c r="N433" s="436"/>
      <c r="O433" s="436"/>
      <c r="T433" s="437"/>
      <c r="U433" s="438"/>
      <c r="V433" s="438"/>
      <c r="W433" s="438"/>
      <c r="X433" s="438"/>
      <c r="Y433" s="439"/>
      <c r="Z433" s="163"/>
      <c r="AA433" s="165"/>
      <c r="AB433" s="165"/>
      <c r="AC433" s="165"/>
      <c r="AD433" s="165"/>
      <c r="AE433" s="165"/>
      <c r="AF433" s="165"/>
      <c r="AG433" s="165"/>
      <c r="AH433" s="165"/>
      <c r="AI433" s="165"/>
      <c r="AJ433" s="165"/>
      <c r="AK433" s="165"/>
      <c r="AL433" s="165"/>
      <c r="AM433" s="165"/>
      <c r="AN433" s="165"/>
      <c r="AO433" s="165"/>
      <c r="AP433" s="165"/>
      <c r="AQ433" s="165"/>
    </row>
    <row r="434" ht="12.75" customHeight="1">
      <c r="A434" s="432"/>
      <c r="B434" s="433"/>
      <c r="C434" s="433"/>
      <c r="D434" s="433"/>
      <c r="E434" s="433"/>
      <c r="F434" s="433"/>
      <c r="G434" s="433"/>
      <c r="H434" s="434"/>
      <c r="J434" s="435"/>
      <c r="K434" s="435"/>
      <c r="L434" s="436"/>
      <c r="M434" s="436"/>
      <c r="N434" s="436"/>
      <c r="O434" s="436"/>
      <c r="T434" s="437"/>
      <c r="U434" s="438"/>
      <c r="V434" s="438"/>
      <c r="W434" s="438"/>
      <c r="X434" s="438"/>
      <c r="Y434" s="439"/>
      <c r="Z434" s="163"/>
      <c r="AA434" s="165"/>
      <c r="AB434" s="165"/>
      <c r="AC434" s="165"/>
      <c r="AD434" s="165"/>
      <c r="AE434" s="165"/>
      <c r="AF434" s="165"/>
      <c r="AG434" s="165"/>
      <c r="AH434" s="165"/>
      <c r="AI434" s="165"/>
      <c r="AJ434" s="165"/>
      <c r="AK434" s="165"/>
      <c r="AL434" s="165"/>
      <c r="AM434" s="165"/>
      <c r="AN434" s="165"/>
      <c r="AO434" s="165"/>
      <c r="AP434" s="165"/>
      <c r="AQ434" s="165"/>
    </row>
    <row r="435" ht="12.75" customHeight="1">
      <c r="A435" s="432"/>
      <c r="B435" s="433"/>
      <c r="C435" s="433"/>
      <c r="D435" s="433"/>
      <c r="E435" s="433"/>
      <c r="F435" s="433"/>
      <c r="G435" s="433"/>
      <c r="H435" s="434"/>
      <c r="J435" s="435"/>
      <c r="K435" s="435"/>
      <c r="L435" s="436"/>
      <c r="M435" s="436"/>
      <c r="N435" s="436"/>
      <c r="O435" s="436"/>
      <c r="T435" s="437"/>
      <c r="U435" s="438"/>
      <c r="V435" s="438"/>
      <c r="W435" s="438"/>
      <c r="X435" s="438"/>
      <c r="Y435" s="439"/>
      <c r="Z435" s="163"/>
      <c r="AA435" s="165"/>
      <c r="AB435" s="165"/>
      <c r="AC435" s="165"/>
      <c r="AD435" s="165"/>
      <c r="AE435" s="165"/>
      <c r="AF435" s="165"/>
      <c r="AG435" s="165"/>
      <c r="AH435" s="165"/>
      <c r="AI435" s="165"/>
      <c r="AJ435" s="165"/>
      <c r="AK435" s="165"/>
      <c r="AL435" s="165"/>
      <c r="AM435" s="165"/>
      <c r="AN435" s="165"/>
      <c r="AO435" s="165"/>
      <c r="AP435" s="165"/>
      <c r="AQ435" s="165"/>
    </row>
    <row r="436" ht="12.75" customHeight="1">
      <c r="A436" s="432"/>
      <c r="B436" s="433"/>
      <c r="C436" s="433"/>
      <c r="D436" s="433"/>
      <c r="E436" s="433"/>
      <c r="F436" s="433"/>
      <c r="G436" s="433"/>
      <c r="H436" s="434"/>
      <c r="J436" s="435"/>
      <c r="K436" s="435"/>
      <c r="L436" s="436"/>
      <c r="M436" s="436"/>
      <c r="N436" s="436"/>
      <c r="O436" s="436"/>
      <c r="T436" s="437"/>
      <c r="U436" s="438"/>
      <c r="V436" s="438"/>
      <c r="W436" s="438"/>
      <c r="X436" s="438"/>
      <c r="Y436" s="439"/>
      <c r="Z436" s="163"/>
      <c r="AA436" s="165"/>
      <c r="AB436" s="165"/>
      <c r="AC436" s="165"/>
      <c r="AD436" s="165"/>
      <c r="AE436" s="165"/>
      <c r="AF436" s="165"/>
      <c r="AG436" s="165"/>
      <c r="AH436" s="165"/>
      <c r="AI436" s="165"/>
      <c r="AJ436" s="165"/>
      <c r="AK436" s="165"/>
      <c r="AL436" s="165"/>
      <c r="AM436" s="165"/>
      <c r="AN436" s="165"/>
      <c r="AO436" s="165"/>
      <c r="AP436" s="165"/>
      <c r="AQ436" s="165"/>
    </row>
    <row r="437" ht="12.75" customHeight="1">
      <c r="A437" s="432"/>
      <c r="B437" s="433"/>
      <c r="C437" s="433"/>
      <c r="D437" s="433"/>
      <c r="E437" s="433"/>
      <c r="F437" s="433"/>
      <c r="G437" s="433"/>
      <c r="H437" s="434"/>
      <c r="J437" s="435"/>
      <c r="K437" s="435"/>
      <c r="L437" s="436"/>
      <c r="M437" s="436"/>
      <c r="N437" s="436"/>
      <c r="O437" s="436"/>
      <c r="T437" s="437"/>
      <c r="U437" s="438"/>
      <c r="V437" s="438"/>
      <c r="W437" s="438"/>
      <c r="X437" s="438"/>
      <c r="Y437" s="439"/>
      <c r="Z437" s="163"/>
      <c r="AA437" s="165"/>
      <c r="AB437" s="165"/>
      <c r="AC437" s="165"/>
      <c r="AD437" s="165"/>
      <c r="AE437" s="165"/>
      <c r="AF437" s="165"/>
      <c r="AG437" s="165"/>
      <c r="AH437" s="165"/>
      <c r="AI437" s="165"/>
      <c r="AJ437" s="165"/>
      <c r="AK437" s="165"/>
      <c r="AL437" s="165"/>
      <c r="AM437" s="165"/>
      <c r="AN437" s="165"/>
      <c r="AO437" s="165"/>
      <c r="AP437" s="165"/>
      <c r="AQ437" s="165"/>
    </row>
    <row r="438" ht="12.75" customHeight="1">
      <c r="A438" s="432"/>
      <c r="B438" s="433"/>
      <c r="C438" s="433"/>
      <c r="D438" s="433"/>
      <c r="E438" s="433"/>
      <c r="F438" s="433"/>
      <c r="G438" s="433"/>
      <c r="H438" s="434"/>
      <c r="J438" s="435"/>
      <c r="K438" s="435"/>
      <c r="L438" s="436"/>
      <c r="M438" s="436"/>
      <c r="N438" s="436"/>
      <c r="O438" s="436"/>
      <c r="T438" s="437"/>
      <c r="U438" s="438"/>
      <c r="V438" s="438"/>
      <c r="W438" s="438"/>
      <c r="X438" s="438"/>
      <c r="Y438" s="439"/>
      <c r="Z438" s="163"/>
      <c r="AA438" s="165"/>
      <c r="AB438" s="165"/>
      <c r="AC438" s="165"/>
      <c r="AD438" s="165"/>
      <c r="AE438" s="165"/>
      <c r="AF438" s="165"/>
      <c r="AG438" s="165"/>
      <c r="AH438" s="165"/>
      <c r="AI438" s="165"/>
      <c r="AJ438" s="165"/>
      <c r="AK438" s="165"/>
      <c r="AL438" s="165"/>
      <c r="AM438" s="165"/>
      <c r="AN438" s="165"/>
      <c r="AO438" s="165"/>
      <c r="AP438" s="165"/>
      <c r="AQ438" s="165"/>
    </row>
    <row r="439" ht="12.75" customHeight="1">
      <c r="A439" s="432"/>
      <c r="B439" s="433"/>
      <c r="C439" s="433"/>
      <c r="D439" s="433"/>
      <c r="E439" s="433"/>
      <c r="F439" s="433"/>
      <c r="G439" s="433"/>
      <c r="H439" s="434"/>
      <c r="J439" s="435"/>
      <c r="K439" s="435"/>
      <c r="L439" s="436"/>
      <c r="M439" s="436"/>
      <c r="N439" s="436"/>
      <c r="O439" s="436"/>
      <c r="T439" s="437"/>
      <c r="U439" s="438"/>
      <c r="V439" s="438"/>
      <c r="W439" s="438"/>
      <c r="X439" s="438"/>
      <c r="Y439" s="439"/>
      <c r="Z439" s="163"/>
      <c r="AA439" s="165"/>
      <c r="AB439" s="165"/>
      <c r="AC439" s="165"/>
      <c r="AD439" s="165"/>
      <c r="AE439" s="165"/>
      <c r="AF439" s="165"/>
      <c r="AG439" s="165"/>
      <c r="AH439" s="165"/>
      <c r="AI439" s="165"/>
      <c r="AJ439" s="165"/>
      <c r="AK439" s="165"/>
      <c r="AL439" s="165"/>
      <c r="AM439" s="165"/>
      <c r="AN439" s="165"/>
      <c r="AO439" s="165"/>
      <c r="AP439" s="165"/>
      <c r="AQ439" s="165"/>
    </row>
    <row r="440" ht="12.75" customHeight="1">
      <c r="A440" s="432"/>
      <c r="B440" s="433"/>
      <c r="C440" s="433"/>
      <c r="D440" s="433"/>
      <c r="E440" s="433"/>
      <c r="F440" s="433"/>
      <c r="G440" s="433"/>
      <c r="H440" s="434"/>
      <c r="J440" s="435"/>
      <c r="K440" s="435"/>
      <c r="L440" s="436"/>
      <c r="M440" s="436"/>
      <c r="N440" s="436"/>
      <c r="O440" s="436"/>
      <c r="T440" s="437"/>
      <c r="U440" s="438"/>
      <c r="V440" s="438"/>
      <c r="W440" s="438"/>
      <c r="X440" s="438"/>
      <c r="Y440" s="439"/>
      <c r="Z440" s="163"/>
      <c r="AA440" s="165"/>
      <c r="AB440" s="165"/>
      <c r="AC440" s="165"/>
      <c r="AD440" s="165"/>
      <c r="AE440" s="165"/>
      <c r="AF440" s="165"/>
      <c r="AG440" s="165"/>
      <c r="AH440" s="165"/>
      <c r="AI440" s="165"/>
      <c r="AJ440" s="165"/>
      <c r="AK440" s="165"/>
      <c r="AL440" s="165"/>
      <c r="AM440" s="165"/>
      <c r="AN440" s="165"/>
      <c r="AO440" s="165"/>
      <c r="AP440" s="165"/>
      <c r="AQ440" s="165"/>
    </row>
    <row r="441" ht="12.75" customHeight="1">
      <c r="A441" s="432"/>
      <c r="B441" s="433"/>
      <c r="C441" s="433"/>
      <c r="D441" s="433"/>
      <c r="E441" s="433"/>
      <c r="F441" s="433"/>
      <c r="G441" s="433"/>
      <c r="H441" s="434"/>
      <c r="J441" s="435"/>
      <c r="K441" s="435"/>
      <c r="L441" s="436"/>
      <c r="M441" s="436"/>
      <c r="N441" s="436"/>
      <c r="O441" s="436"/>
      <c r="T441" s="437"/>
      <c r="U441" s="438"/>
      <c r="V441" s="438"/>
      <c r="W441" s="438"/>
      <c r="X441" s="438"/>
      <c r="Y441" s="439"/>
      <c r="Z441" s="163"/>
      <c r="AA441" s="165"/>
      <c r="AB441" s="165"/>
      <c r="AC441" s="165"/>
      <c r="AD441" s="165"/>
      <c r="AE441" s="165"/>
      <c r="AF441" s="165"/>
      <c r="AG441" s="165"/>
      <c r="AH441" s="165"/>
      <c r="AI441" s="165"/>
      <c r="AJ441" s="165"/>
      <c r="AK441" s="165"/>
      <c r="AL441" s="165"/>
      <c r="AM441" s="165"/>
      <c r="AN441" s="165"/>
      <c r="AO441" s="165"/>
      <c r="AP441" s="165"/>
      <c r="AQ441" s="165"/>
    </row>
    <row r="442" ht="12.75" customHeight="1">
      <c r="A442" s="432"/>
      <c r="B442" s="433"/>
      <c r="C442" s="433"/>
      <c r="D442" s="433"/>
      <c r="E442" s="433"/>
      <c r="F442" s="433"/>
      <c r="G442" s="433"/>
      <c r="H442" s="434"/>
      <c r="J442" s="435"/>
      <c r="K442" s="435"/>
      <c r="L442" s="436"/>
      <c r="M442" s="436"/>
      <c r="N442" s="436"/>
      <c r="O442" s="436"/>
      <c r="T442" s="437"/>
      <c r="U442" s="438"/>
      <c r="V442" s="438"/>
      <c r="W442" s="438"/>
      <c r="X442" s="438"/>
      <c r="Y442" s="439"/>
      <c r="Z442" s="163"/>
      <c r="AA442" s="165"/>
      <c r="AB442" s="165"/>
      <c r="AC442" s="165"/>
      <c r="AD442" s="165"/>
      <c r="AE442" s="165"/>
      <c r="AF442" s="165"/>
      <c r="AG442" s="165"/>
      <c r="AH442" s="165"/>
      <c r="AI442" s="165"/>
      <c r="AJ442" s="165"/>
      <c r="AK442" s="165"/>
      <c r="AL442" s="165"/>
      <c r="AM442" s="165"/>
      <c r="AN442" s="165"/>
      <c r="AO442" s="165"/>
      <c r="AP442" s="165"/>
      <c r="AQ442" s="165"/>
    </row>
    <row r="443" ht="12.75" customHeight="1">
      <c r="A443" s="432"/>
      <c r="B443" s="433"/>
      <c r="C443" s="433"/>
      <c r="D443" s="433"/>
      <c r="E443" s="433"/>
      <c r="F443" s="433"/>
      <c r="G443" s="433"/>
      <c r="H443" s="434"/>
      <c r="J443" s="435"/>
      <c r="K443" s="435"/>
      <c r="L443" s="436"/>
      <c r="M443" s="436"/>
      <c r="N443" s="436"/>
      <c r="O443" s="436"/>
      <c r="T443" s="437"/>
      <c r="U443" s="438"/>
      <c r="V443" s="438"/>
      <c r="W443" s="438"/>
      <c r="X443" s="438"/>
      <c r="Y443" s="439"/>
      <c r="Z443" s="163"/>
      <c r="AA443" s="165"/>
      <c r="AB443" s="165"/>
      <c r="AC443" s="165"/>
      <c r="AD443" s="165"/>
      <c r="AE443" s="165"/>
      <c r="AF443" s="165"/>
      <c r="AG443" s="165"/>
      <c r="AH443" s="165"/>
      <c r="AI443" s="165"/>
      <c r="AJ443" s="165"/>
      <c r="AK443" s="165"/>
      <c r="AL443" s="165"/>
      <c r="AM443" s="165"/>
      <c r="AN443" s="165"/>
      <c r="AO443" s="165"/>
      <c r="AP443" s="165"/>
      <c r="AQ443" s="165"/>
    </row>
    <row r="444" ht="12.75" customHeight="1">
      <c r="A444" s="432"/>
      <c r="B444" s="433"/>
      <c r="C444" s="433"/>
      <c r="D444" s="433"/>
      <c r="E444" s="433"/>
      <c r="F444" s="433"/>
      <c r="G444" s="433"/>
      <c r="H444" s="434"/>
      <c r="J444" s="435"/>
      <c r="K444" s="435"/>
      <c r="L444" s="436"/>
      <c r="M444" s="436"/>
      <c r="N444" s="436"/>
      <c r="O444" s="436"/>
      <c r="T444" s="437"/>
      <c r="U444" s="438"/>
      <c r="V444" s="438"/>
      <c r="W444" s="438"/>
      <c r="X444" s="438"/>
      <c r="Y444" s="439"/>
      <c r="Z444" s="163"/>
      <c r="AA444" s="165"/>
      <c r="AB444" s="165"/>
      <c r="AC444" s="165"/>
      <c r="AD444" s="165"/>
      <c r="AE444" s="165"/>
      <c r="AF444" s="165"/>
      <c r="AG444" s="165"/>
      <c r="AH444" s="165"/>
      <c r="AI444" s="165"/>
      <c r="AJ444" s="165"/>
      <c r="AK444" s="165"/>
      <c r="AL444" s="165"/>
      <c r="AM444" s="165"/>
      <c r="AN444" s="165"/>
      <c r="AO444" s="165"/>
      <c r="AP444" s="165"/>
      <c r="AQ444" s="165"/>
    </row>
    <row r="445" ht="12.75" customHeight="1">
      <c r="A445" s="432"/>
      <c r="B445" s="433"/>
      <c r="C445" s="433"/>
      <c r="D445" s="433"/>
      <c r="E445" s="433"/>
      <c r="F445" s="433"/>
      <c r="G445" s="433"/>
      <c r="H445" s="434"/>
      <c r="J445" s="435"/>
      <c r="K445" s="435"/>
      <c r="L445" s="436"/>
      <c r="M445" s="436"/>
      <c r="N445" s="436"/>
      <c r="O445" s="436"/>
      <c r="T445" s="437"/>
      <c r="U445" s="438"/>
      <c r="V445" s="438"/>
      <c r="W445" s="438"/>
      <c r="X445" s="438"/>
      <c r="Y445" s="439"/>
      <c r="Z445" s="163"/>
      <c r="AA445" s="165"/>
      <c r="AB445" s="165"/>
      <c r="AC445" s="165"/>
      <c r="AD445" s="165"/>
      <c r="AE445" s="165"/>
      <c r="AF445" s="165"/>
      <c r="AG445" s="165"/>
      <c r="AH445" s="165"/>
      <c r="AI445" s="165"/>
      <c r="AJ445" s="165"/>
      <c r="AK445" s="165"/>
      <c r="AL445" s="165"/>
      <c r="AM445" s="165"/>
      <c r="AN445" s="165"/>
      <c r="AO445" s="165"/>
      <c r="AP445" s="165"/>
      <c r="AQ445" s="165"/>
    </row>
    <row r="446" ht="12.75" customHeight="1">
      <c r="A446" s="432"/>
      <c r="B446" s="433"/>
      <c r="C446" s="433"/>
      <c r="D446" s="433"/>
      <c r="E446" s="433"/>
      <c r="F446" s="433"/>
      <c r="G446" s="433"/>
      <c r="H446" s="434"/>
      <c r="J446" s="435"/>
      <c r="K446" s="435"/>
      <c r="L446" s="436"/>
      <c r="M446" s="436"/>
      <c r="N446" s="436"/>
      <c r="O446" s="436"/>
      <c r="T446" s="437"/>
      <c r="U446" s="438"/>
      <c r="V446" s="438"/>
      <c r="W446" s="438"/>
      <c r="X446" s="438"/>
      <c r="Y446" s="439"/>
      <c r="Z446" s="163"/>
      <c r="AA446" s="165"/>
      <c r="AB446" s="165"/>
      <c r="AC446" s="165"/>
      <c r="AD446" s="165"/>
      <c r="AE446" s="165"/>
      <c r="AF446" s="165"/>
      <c r="AG446" s="165"/>
      <c r="AH446" s="165"/>
      <c r="AI446" s="165"/>
      <c r="AJ446" s="165"/>
      <c r="AK446" s="165"/>
      <c r="AL446" s="165"/>
      <c r="AM446" s="165"/>
      <c r="AN446" s="165"/>
      <c r="AO446" s="165"/>
      <c r="AP446" s="165"/>
      <c r="AQ446" s="165"/>
    </row>
    <row r="447" ht="12.75" customHeight="1">
      <c r="A447" s="432"/>
      <c r="B447" s="433"/>
      <c r="C447" s="433"/>
      <c r="D447" s="433"/>
      <c r="E447" s="433"/>
      <c r="F447" s="433"/>
      <c r="G447" s="433"/>
      <c r="H447" s="434"/>
      <c r="J447" s="435"/>
      <c r="K447" s="435"/>
      <c r="L447" s="436"/>
      <c r="M447" s="436"/>
      <c r="N447" s="436"/>
      <c r="O447" s="436"/>
      <c r="T447" s="437"/>
      <c r="U447" s="438"/>
      <c r="V447" s="438"/>
      <c r="W447" s="438"/>
      <c r="X447" s="438"/>
      <c r="Y447" s="439"/>
      <c r="Z447" s="163"/>
      <c r="AA447" s="165"/>
      <c r="AB447" s="165"/>
      <c r="AC447" s="165"/>
      <c r="AD447" s="165"/>
      <c r="AE447" s="165"/>
      <c r="AF447" s="165"/>
      <c r="AG447" s="165"/>
      <c r="AH447" s="165"/>
      <c r="AI447" s="165"/>
      <c r="AJ447" s="165"/>
      <c r="AK447" s="165"/>
      <c r="AL447" s="165"/>
      <c r="AM447" s="165"/>
      <c r="AN447" s="165"/>
      <c r="AO447" s="165"/>
      <c r="AP447" s="165"/>
      <c r="AQ447" s="165"/>
    </row>
    <row r="448" ht="12.75" customHeight="1">
      <c r="A448" s="432"/>
      <c r="B448" s="433"/>
      <c r="C448" s="433"/>
      <c r="D448" s="433"/>
      <c r="E448" s="433"/>
      <c r="F448" s="433"/>
      <c r="G448" s="433"/>
      <c r="H448" s="434"/>
      <c r="J448" s="435"/>
      <c r="K448" s="435"/>
      <c r="L448" s="436"/>
      <c r="M448" s="436"/>
      <c r="N448" s="436"/>
      <c r="O448" s="436"/>
      <c r="T448" s="437"/>
      <c r="U448" s="438"/>
      <c r="V448" s="438"/>
      <c r="W448" s="438"/>
      <c r="X448" s="438"/>
      <c r="Y448" s="439"/>
      <c r="Z448" s="163"/>
      <c r="AA448" s="165"/>
      <c r="AB448" s="165"/>
      <c r="AC448" s="165"/>
      <c r="AD448" s="165"/>
      <c r="AE448" s="165"/>
      <c r="AF448" s="165"/>
      <c r="AG448" s="165"/>
      <c r="AH448" s="165"/>
      <c r="AI448" s="165"/>
      <c r="AJ448" s="165"/>
      <c r="AK448" s="165"/>
      <c r="AL448" s="165"/>
      <c r="AM448" s="165"/>
      <c r="AN448" s="165"/>
      <c r="AO448" s="165"/>
      <c r="AP448" s="165"/>
      <c r="AQ448" s="165"/>
    </row>
    <row r="449" ht="12.75" customHeight="1">
      <c r="A449" s="432"/>
      <c r="B449" s="433"/>
      <c r="C449" s="433"/>
      <c r="D449" s="433"/>
      <c r="E449" s="433"/>
      <c r="F449" s="433"/>
      <c r="G449" s="433"/>
      <c r="H449" s="434"/>
      <c r="J449" s="435"/>
      <c r="K449" s="435"/>
      <c r="L449" s="436"/>
      <c r="M449" s="436"/>
      <c r="N449" s="436"/>
      <c r="O449" s="436"/>
      <c r="T449" s="437"/>
      <c r="U449" s="438"/>
      <c r="V449" s="438"/>
      <c r="W449" s="438"/>
      <c r="X449" s="438"/>
      <c r="Y449" s="439"/>
      <c r="Z449" s="163"/>
      <c r="AA449" s="165"/>
      <c r="AB449" s="165"/>
      <c r="AC449" s="165"/>
      <c r="AD449" s="165"/>
      <c r="AE449" s="165"/>
      <c r="AF449" s="165"/>
      <c r="AG449" s="165"/>
      <c r="AH449" s="165"/>
      <c r="AI449" s="165"/>
      <c r="AJ449" s="165"/>
      <c r="AK449" s="165"/>
      <c r="AL449" s="165"/>
      <c r="AM449" s="165"/>
      <c r="AN449" s="165"/>
      <c r="AO449" s="165"/>
      <c r="AP449" s="165"/>
      <c r="AQ449" s="165"/>
    </row>
    <row r="450" ht="12.75" customHeight="1">
      <c r="A450" s="432"/>
      <c r="B450" s="433"/>
      <c r="C450" s="433"/>
      <c r="D450" s="433"/>
      <c r="E450" s="433"/>
      <c r="F450" s="433"/>
      <c r="G450" s="433"/>
      <c r="H450" s="434"/>
      <c r="J450" s="435"/>
      <c r="K450" s="435"/>
      <c r="L450" s="436"/>
      <c r="M450" s="436"/>
      <c r="N450" s="436"/>
      <c r="O450" s="436"/>
      <c r="T450" s="437"/>
      <c r="U450" s="438"/>
      <c r="V450" s="438"/>
      <c r="W450" s="438"/>
      <c r="X450" s="438"/>
      <c r="Y450" s="439"/>
      <c r="Z450" s="163"/>
      <c r="AA450" s="165"/>
      <c r="AB450" s="165"/>
      <c r="AC450" s="165"/>
      <c r="AD450" s="165"/>
      <c r="AE450" s="165"/>
      <c r="AF450" s="165"/>
      <c r="AG450" s="165"/>
      <c r="AH450" s="165"/>
      <c r="AI450" s="165"/>
      <c r="AJ450" s="165"/>
      <c r="AK450" s="165"/>
      <c r="AL450" s="165"/>
      <c r="AM450" s="165"/>
      <c r="AN450" s="165"/>
      <c r="AO450" s="165"/>
      <c r="AP450" s="165"/>
      <c r="AQ450" s="165"/>
    </row>
    <row r="451" ht="12.75" customHeight="1">
      <c r="A451" s="432"/>
      <c r="B451" s="433"/>
      <c r="C451" s="433"/>
      <c r="D451" s="433"/>
      <c r="E451" s="433"/>
      <c r="F451" s="433"/>
      <c r="G451" s="433"/>
      <c r="H451" s="434"/>
      <c r="J451" s="435"/>
      <c r="K451" s="435"/>
      <c r="L451" s="436"/>
      <c r="M451" s="436"/>
      <c r="N451" s="436"/>
      <c r="O451" s="436"/>
      <c r="T451" s="437"/>
      <c r="U451" s="438"/>
      <c r="V451" s="438"/>
      <c r="W451" s="438"/>
      <c r="X451" s="438"/>
      <c r="Y451" s="439"/>
      <c r="Z451" s="163"/>
      <c r="AA451" s="165"/>
      <c r="AB451" s="165"/>
      <c r="AC451" s="165"/>
      <c r="AD451" s="165"/>
      <c r="AE451" s="165"/>
      <c r="AF451" s="165"/>
      <c r="AG451" s="165"/>
      <c r="AH451" s="165"/>
      <c r="AI451" s="165"/>
      <c r="AJ451" s="165"/>
      <c r="AK451" s="165"/>
      <c r="AL451" s="165"/>
      <c r="AM451" s="165"/>
      <c r="AN451" s="165"/>
      <c r="AO451" s="165"/>
      <c r="AP451" s="165"/>
      <c r="AQ451" s="165"/>
    </row>
    <row r="452" ht="12.75" customHeight="1">
      <c r="A452" s="432"/>
      <c r="B452" s="433"/>
      <c r="C452" s="433"/>
      <c r="D452" s="433"/>
      <c r="E452" s="433"/>
      <c r="F452" s="433"/>
      <c r="G452" s="433"/>
      <c r="H452" s="434"/>
      <c r="J452" s="435"/>
      <c r="K452" s="435"/>
      <c r="L452" s="436"/>
      <c r="M452" s="436"/>
      <c r="N452" s="436"/>
      <c r="O452" s="436"/>
      <c r="T452" s="437"/>
      <c r="U452" s="438"/>
      <c r="V452" s="438"/>
      <c r="W452" s="438"/>
      <c r="X452" s="438"/>
      <c r="Y452" s="439"/>
      <c r="Z452" s="163"/>
      <c r="AA452" s="165"/>
      <c r="AB452" s="165"/>
      <c r="AC452" s="165"/>
      <c r="AD452" s="165"/>
      <c r="AE452" s="165"/>
      <c r="AF452" s="165"/>
      <c r="AG452" s="165"/>
      <c r="AH452" s="165"/>
      <c r="AI452" s="165"/>
      <c r="AJ452" s="165"/>
      <c r="AK452" s="165"/>
      <c r="AL452" s="165"/>
      <c r="AM452" s="165"/>
      <c r="AN452" s="165"/>
      <c r="AO452" s="165"/>
      <c r="AP452" s="165"/>
      <c r="AQ452" s="165"/>
    </row>
    <row r="453" ht="12.75" customHeight="1">
      <c r="A453" s="432"/>
      <c r="B453" s="433"/>
      <c r="C453" s="433"/>
      <c r="D453" s="433"/>
      <c r="E453" s="433"/>
      <c r="F453" s="433"/>
      <c r="G453" s="433"/>
      <c r="H453" s="434"/>
      <c r="J453" s="435"/>
      <c r="K453" s="435"/>
      <c r="L453" s="436"/>
      <c r="M453" s="436"/>
      <c r="N453" s="436"/>
      <c r="O453" s="436"/>
      <c r="T453" s="437"/>
      <c r="U453" s="438"/>
      <c r="V453" s="438"/>
      <c r="W453" s="438"/>
      <c r="X453" s="438"/>
      <c r="Y453" s="439"/>
      <c r="Z453" s="163"/>
      <c r="AA453" s="165"/>
      <c r="AB453" s="165"/>
      <c r="AC453" s="165"/>
      <c r="AD453" s="165"/>
      <c r="AE453" s="165"/>
      <c r="AF453" s="165"/>
      <c r="AG453" s="165"/>
      <c r="AH453" s="165"/>
      <c r="AI453" s="165"/>
      <c r="AJ453" s="165"/>
      <c r="AK453" s="165"/>
      <c r="AL453" s="165"/>
      <c r="AM453" s="165"/>
      <c r="AN453" s="165"/>
      <c r="AO453" s="165"/>
      <c r="AP453" s="165"/>
      <c r="AQ453" s="165"/>
    </row>
    <row r="454" ht="12.75" customHeight="1">
      <c r="A454" s="432"/>
      <c r="B454" s="433"/>
      <c r="C454" s="433"/>
      <c r="D454" s="433"/>
      <c r="E454" s="433"/>
      <c r="F454" s="433"/>
      <c r="G454" s="433"/>
      <c r="H454" s="434"/>
      <c r="J454" s="435"/>
      <c r="K454" s="435"/>
      <c r="L454" s="436"/>
      <c r="M454" s="436"/>
      <c r="N454" s="436"/>
      <c r="O454" s="436"/>
      <c r="T454" s="437"/>
      <c r="U454" s="438"/>
      <c r="V454" s="438"/>
      <c r="W454" s="438"/>
      <c r="X454" s="438"/>
      <c r="Y454" s="439"/>
      <c r="Z454" s="163"/>
      <c r="AA454" s="165"/>
      <c r="AB454" s="165"/>
      <c r="AC454" s="165"/>
      <c r="AD454" s="165"/>
      <c r="AE454" s="165"/>
      <c r="AF454" s="165"/>
      <c r="AG454" s="165"/>
      <c r="AH454" s="165"/>
      <c r="AI454" s="165"/>
      <c r="AJ454" s="165"/>
      <c r="AK454" s="165"/>
      <c r="AL454" s="165"/>
      <c r="AM454" s="165"/>
      <c r="AN454" s="165"/>
      <c r="AO454" s="165"/>
      <c r="AP454" s="165"/>
      <c r="AQ454" s="165"/>
    </row>
    <row r="455" ht="12.75" customHeight="1">
      <c r="A455" s="432"/>
      <c r="B455" s="433"/>
      <c r="C455" s="433"/>
      <c r="D455" s="433"/>
      <c r="E455" s="433"/>
      <c r="F455" s="433"/>
      <c r="G455" s="433"/>
      <c r="H455" s="434"/>
      <c r="J455" s="435"/>
      <c r="K455" s="435"/>
      <c r="L455" s="436"/>
      <c r="M455" s="436"/>
      <c r="N455" s="436"/>
      <c r="O455" s="436"/>
      <c r="T455" s="437"/>
      <c r="U455" s="438"/>
      <c r="V455" s="438"/>
      <c r="W455" s="438"/>
      <c r="X455" s="438"/>
      <c r="Y455" s="439"/>
      <c r="Z455" s="163"/>
      <c r="AA455" s="165"/>
      <c r="AB455" s="165"/>
      <c r="AC455" s="165"/>
      <c r="AD455" s="165"/>
      <c r="AE455" s="165"/>
      <c r="AF455" s="165"/>
      <c r="AG455" s="165"/>
      <c r="AH455" s="165"/>
      <c r="AI455" s="165"/>
      <c r="AJ455" s="165"/>
      <c r="AK455" s="165"/>
      <c r="AL455" s="165"/>
      <c r="AM455" s="165"/>
      <c r="AN455" s="165"/>
      <c r="AO455" s="165"/>
      <c r="AP455" s="165"/>
      <c r="AQ455" s="165"/>
    </row>
    <row r="456" ht="12.75" customHeight="1">
      <c r="A456" s="432"/>
      <c r="B456" s="433"/>
      <c r="C456" s="433"/>
      <c r="D456" s="433"/>
      <c r="E456" s="433"/>
      <c r="F456" s="433"/>
      <c r="G456" s="433"/>
      <c r="H456" s="434"/>
      <c r="J456" s="435"/>
      <c r="K456" s="435"/>
      <c r="L456" s="436"/>
      <c r="M456" s="436"/>
      <c r="N456" s="436"/>
      <c r="O456" s="436"/>
      <c r="T456" s="437"/>
      <c r="U456" s="438"/>
      <c r="V456" s="438"/>
      <c r="W456" s="438"/>
      <c r="X456" s="438"/>
      <c r="Y456" s="439"/>
      <c r="Z456" s="163"/>
      <c r="AA456" s="165"/>
      <c r="AB456" s="165"/>
      <c r="AC456" s="165"/>
      <c r="AD456" s="165"/>
      <c r="AE456" s="165"/>
      <c r="AF456" s="165"/>
      <c r="AG456" s="165"/>
      <c r="AH456" s="165"/>
      <c r="AI456" s="165"/>
      <c r="AJ456" s="165"/>
      <c r="AK456" s="165"/>
      <c r="AL456" s="165"/>
      <c r="AM456" s="165"/>
      <c r="AN456" s="165"/>
      <c r="AO456" s="165"/>
      <c r="AP456" s="165"/>
      <c r="AQ456" s="165"/>
    </row>
    <row r="457" ht="12.75" customHeight="1">
      <c r="A457" s="432"/>
      <c r="B457" s="433"/>
      <c r="C457" s="433"/>
      <c r="D457" s="433"/>
      <c r="E457" s="433"/>
      <c r="F457" s="433"/>
      <c r="G457" s="433"/>
      <c r="H457" s="434"/>
      <c r="J457" s="435"/>
      <c r="K457" s="435"/>
      <c r="L457" s="436"/>
      <c r="M457" s="436"/>
      <c r="N457" s="436"/>
      <c r="O457" s="436"/>
      <c r="T457" s="437"/>
      <c r="U457" s="438"/>
      <c r="V457" s="438"/>
      <c r="W457" s="438"/>
      <c r="X457" s="438"/>
      <c r="Y457" s="439"/>
      <c r="Z457" s="163"/>
      <c r="AA457" s="165"/>
      <c r="AB457" s="165"/>
      <c r="AC457" s="165"/>
      <c r="AD457" s="165"/>
      <c r="AE457" s="165"/>
      <c r="AF457" s="165"/>
      <c r="AG457" s="165"/>
      <c r="AH457" s="165"/>
      <c r="AI457" s="165"/>
      <c r="AJ457" s="165"/>
      <c r="AK457" s="165"/>
      <c r="AL457" s="165"/>
      <c r="AM457" s="165"/>
      <c r="AN457" s="165"/>
      <c r="AO457" s="165"/>
      <c r="AP457" s="165"/>
      <c r="AQ457" s="165"/>
    </row>
    <row r="458" ht="15.75" customHeight="1">
      <c r="H458" s="440"/>
      <c r="U458" s="441"/>
      <c r="V458" s="441"/>
      <c r="W458" s="441"/>
      <c r="X458" s="441"/>
      <c r="Y458" s="442"/>
      <c r="Z458" s="165"/>
      <c r="AA458" s="165"/>
      <c r="AB458" s="165"/>
      <c r="AC458" s="165"/>
      <c r="AD458" s="165"/>
      <c r="AE458" s="165"/>
      <c r="AF458" s="165"/>
      <c r="AG458" s="165"/>
      <c r="AH458" s="165"/>
      <c r="AI458" s="165"/>
      <c r="AJ458" s="165"/>
      <c r="AK458" s="165"/>
      <c r="AL458" s="165"/>
      <c r="AM458" s="165"/>
      <c r="AN458" s="165"/>
      <c r="AO458" s="165"/>
      <c r="AP458" s="165"/>
      <c r="AQ458" s="165"/>
    </row>
    <row r="459" ht="15.75" customHeight="1">
      <c r="H459" s="440"/>
      <c r="U459" s="441"/>
      <c r="V459" s="441"/>
      <c r="W459" s="441"/>
      <c r="X459" s="441"/>
      <c r="Y459" s="442"/>
      <c r="Z459" s="165"/>
      <c r="AA459" s="165"/>
      <c r="AB459" s="165"/>
      <c r="AC459" s="165"/>
      <c r="AD459" s="165"/>
      <c r="AE459" s="165"/>
      <c r="AF459" s="165"/>
      <c r="AG459" s="165"/>
      <c r="AH459" s="165"/>
      <c r="AI459" s="165"/>
      <c r="AJ459" s="165"/>
      <c r="AK459" s="165"/>
      <c r="AL459" s="165"/>
      <c r="AM459" s="165"/>
      <c r="AN459" s="165"/>
      <c r="AO459" s="165"/>
      <c r="AP459" s="165"/>
      <c r="AQ459" s="165"/>
    </row>
    <row r="460" ht="15.75" customHeight="1">
      <c r="H460" s="440"/>
      <c r="U460" s="441"/>
      <c r="V460" s="441"/>
      <c r="W460" s="441"/>
      <c r="X460" s="441"/>
      <c r="Y460" s="442"/>
      <c r="Z460" s="165"/>
      <c r="AA460" s="165"/>
      <c r="AB460" s="165"/>
      <c r="AC460" s="165"/>
      <c r="AD460" s="165"/>
      <c r="AE460" s="165"/>
      <c r="AF460" s="165"/>
      <c r="AG460" s="165"/>
      <c r="AH460" s="165"/>
      <c r="AI460" s="165"/>
      <c r="AJ460" s="165"/>
      <c r="AK460" s="165"/>
      <c r="AL460" s="165"/>
      <c r="AM460" s="165"/>
      <c r="AN460" s="165"/>
      <c r="AO460" s="165"/>
      <c r="AP460" s="165"/>
      <c r="AQ460" s="165"/>
    </row>
    <row r="461" ht="15.75" customHeight="1">
      <c r="H461" s="440"/>
      <c r="U461" s="441"/>
      <c r="V461" s="441"/>
      <c r="W461" s="441"/>
      <c r="X461" s="441"/>
      <c r="Y461" s="442"/>
      <c r="Z461" s="165"/>
      <c r="AA461" s="165"/>
      <c r="AB461" s="165"/>
      <c r="AC461" s="165"/>
      <c r="AD461" s="165"/>
      <c r="AE461" s="165"/>
      <c r="AF461" s="165"/>
      <c r="AG461" s="165"/>
      <c r="AH461" s="165"/>
      <c r="AI461" s="165"/>
      <c r="AJ461" s="165"/>
      <c r="AK461" s="165"/>
      <c r="AL461" s="165"/>
      <c r="AM461" s="165"/>
      <c r="AN461" s="165"/>
      <c r="AO461" s="165"/>
      <c r="AP461" s="165"/>
      <c r="AQ461" s="165"/>
    </row>
    <row r="462" ht="15.75" customHeight="1">
      <c r="H462" s="440"/>
      <c r="U462" s="441"/>
      <c r="V462" s="441"/>
      <c r="W462" s="441"/>
      <c r="X462" s="441"/>
      <c r="Y462" s="442"/>
      <c r="Z462" s="165"/>
      <c r="AA462" s="165"/>
      <c r="AB462" s="165"/>
      <c r="AC462" s="165"/>
      <c r="AD462" s="165"/>
      <c r="AE462" s="165"/>
      <c r="AF462" s="165"/>
      <c r="AG462" s="165"/>
      <c r="AH462" s="165"/>
      <c r="AI462" s="165"/>
      <c r="AJ462" s="165"/>
      <c r="AK462" s="165"/>
      <c r="AL462" s="165"/>
      <c r="AM462" s="165"/>
      <c r="AN462" s="165"/>
      <c r="AO462" s="165"/>
      <c r="AP462" s="165"/>
      <c r="AQ462" s="165"/>
    </row>
    <row r="463" ht="15.75" customHeight="1">
      <c r="H463" s="440"/>
      <c r="U463" s="441"/>
      <c r="V463" s="441"/>
      <c r="W463" s="441"/>
      <c r="X463" s="441"/>
      <c r="Y463" s="442"/>
      <c r="Z463" s="165"/>
      <c r="AA463" s="165"/>
      <c r="AB463" s="165"/>
      <c r="AC463" s="165"/>
      <c r="AD463" s="165"/>
      <c r="AE463" s="165"/>
      <c r="AF463" s="165"/>
      <c r="AG463" s="165"/>
      <c r="AH463" s="165"/>
      <c r="AI463" s="165"/>
      <c r="AJ463" s="165"/>
      <c r="AK463" s="165"/>
      <c r="AL463" s="165"/>
      <c r="AM463" s="165"/>
      <c r="AN463" s="165"/>
      <c r="AO463" s="165"/>
      <c r="AP463" s="165"/>
      <c r="AQ463" s="165"/>
    </row>
    <row r="464" ht="15.75" customHeight="1">
      <c r="H464" s="440"/>
      <c r="U464" s="441"/>
      <c r="V464" s="441"/>
      <c r="W464" s="441"/>
      <c r="X464" s="441"/>
      <c r="Y464" s="442"/>
      <c r="Z464" s="165"/>
      <c r="AA464" s="165"/>
      <c r="AB464" s="165"/>
      <c r="AC464" s="165"/>
      <c r="AD464" s="165"/>
      <c r="AE464" s="165"/>
      <c r="AF464" s="165"/>
      <c r="AG464" s="165"/>
      <c r="AH464" s="165"/>
      <c r="AI464" s="165"/>
      <c r="AJ464" s="165"/>
      <c r="AK464" s="165"/>
      <c r="AL464" s="165"/>
      <c r="AM464" s="165"/>
      <c r="AN464" s="165"/>
      <c r="AO464" s="165"/>
      <c r="AP464" s="165"/>
      <c r="AQ464" s="165"/>
    </row>
    <row r="465" ht="15.75" customHeight="1">
      <c r="H465" s="440"/>
      <c r="U465" s="441"/>
      <c r="V465" s="441"/>
      <c r="W465" s="441"/>
      <c r="X465" s="441"/>
      <c r="Y465" s="442"/>
      <c r="Z465" s="165"/>
      <c r="AA465" s="165"/>
      <c r="AB465" s="165"/>
      <c r="AC465" s="165"/>
      <c r="AD465" s="165"/>
      <c r="AE465" s="165"/>
      <c r="AF465" s="165"/>
      <c r="AG465" s="165"/>
      <c r="AH465" s="165"/>
      <c r="AI465" s="165"/>
      <c r="AJ465" s="165"/>
      <c r="AK465" s="165"/>
      <c r="AL465" s="165"/>
      <c r="AM465" s="165"/>
      <c r="AN465" s="165"/>
      <c r="AO465" s="165"/>
      <c r="AP465" s="165"/>
      <c r="AQ465" s="165"/>
    </row>
    <row r="466" ht="15.75" customHeight="1">
      <c r="H466" s="440"/>
      <c r="U466" s="441"/>
      <c r="V466" s="441"/>
      <c r="W466" s="441"/>
      <c r="X466" s="441"/>
      <c r="Y466" s="442"/>
      <c r="Z466" s="165"/>
      <c r="AA466" s="165"/>
      <c r="AB466" s="165"/>
      <c r="AC466" s="165"/>
      <c r="AD466" s="165"/>
      <c r="AE466" s="165"/>
      <c r="AF466" s="165"/>
      <c r="AG466" s="165"/>
      <c r="AH466" s="165"/>
      <c r="AI466" s="165"/>
      <c r="AJ466" s="165"/>
      <c r="AK466" s="165"/>
      <c r="AL466" s="165"/>
      <c r="AM466" s="165"/>
      <c r="AN466" s="165"/>
      <c r="AO466" s="165"/>
      <c r="AP466" s="165"/>
      <c r="AQ466" s="165"/>
    </row>
    <row r="467" ht="15.75" customHeight="1">
      <c r="H467" s="440"/>
      <c r="U467" s="441"/>
      <c r="V467" s="441"/>
      <c r="W467" s="441"/>
      <c r="X467" s="441"/>
      <c r="Y467" s="442"/>
      <c r="Z467" s="165"/>
      <c r="AA467" s="165"/>
      <c r="AB467" s="165"/>
      <c r="AC467" s="165"/>
      <c r="AD467" s="165"/>
      <c r="AE467" s="165"/>
      <c r="AF467" s="165"/>
      <c r="AG467" s="165"/>
      <c r="AH467" s="165"/>
      <c r="AI467" s="165"/>
      <c r="AJ467" s="165"/>
      <c r="AK467" s="165"/>
      <c r="AL467" s="165"/>
      <c r="AM467" s="165"/>
      <c r="AN467" s="165"/>
      <c r="AO467" s="165"/>
      <c r="AP467" s="165"/>
      <c r="AQ467" s="165"/>
    </row>
    <row r="468" ht="15.75" customHeight="1">
      <c r="H468" s="440"/>
      <c r="U468" s="441"/>
      <c r="V468" s="441"/>
      <c r="W468" s="441"/>
      <c r="X468" s="441"/>
      <c r="Y468" s="442"/>
      <c r="Z468" s="165"/>
      <c r="AA468" s="165"/>
      <c r="AB468" s="165"/>
      <c r="AC468" s="165"/>
      <c r="AD468" s="165"/>
      <c r="AE468" s="165"/>
      <c r="AF468" s="165"/>
      <c r="AG468" s="165"/>
      <c r="AH468" s="165"/>
      <c r="AI468" s="165"/>
      <c r="AJ468" s="165"/>
      <c r="AK468" s="165"/>
      <c r="AL468" s="165"/>
      <c r="AM468" s="165"/>
      <c r="AN468" s="165"/>
      <c r="AO468" s="165"/>
      <c r="AP468" s="165"/>
      <c r="AQ468" s="165"/>
    </row>
    <row r="469" ht="15.75" customHeight="1">
      <c r="H469" s="440"/>
      <c r="U469" s="441"/>
      <c r="V469" s="441"/>
      <c r="W469" s="441"/>
      <c r="X469" s="441"/>
      <c r="Y469" s="442"/>
      <c r="Z469" s="165"/>
      <c r="AA469" s="165"/>
      <c r="AB469" s="165"/>
      <c r="AC469" s="165"/>
      <c r="AD469" s="165"/>
      <c r="AE469" s="165"/>
      <c r="AF469" s="165"/>
      <c r="AG469" s="165"/>
      <c r="AH469" s="165"/>
      <c r="AI469" s="165"/>
      <c r="AJ469" s="165"/>
      <c r="AK469" s="165"/>
      <c r="AL469" s="165"/>
      <c r="AM469" s="165"/>
      <c r="AN469" s="165"/>
      <c r="AO469" s="165"/>
      <c r="AP469" s="165"/>
      <c r="AQ469" s="165"/>
    </row>
    <row r="470" ht="15.75" customHeight="1">
      <c r="H470" s="440"/>
      <c r="U470" s="441"/>
      <c r="V470" s="441"/>
      <c r="W470" s="441"/>
      <c r="X470" s="441"/>
      <c r="Y470" s="442"/>
      <c r="Z470" s="165"/>
      <c r="AA470" s="165"/>
      <c r="AB470" s="165"/>
      <c r="AC470" s="165"/>
      <c r="AD470" s="165"/>
      <c r="AE470" s="165"/>
      <c r="AF470" s="165"/>
      <c r="AG470" s="165"/>
      <c r="AH470" s="165"/>
      <c r="AI470" s="165"/>
      <c r="AJ470" s="165"/>
      <c r="AK470" s="165"/>
      <c r="AL470" s="165"/>
      <c r="AM470" s="165"/>
      <c r="AN470" s="165"/>
      <c r="AO470" s="165"/>
      <c r="AP470" s="165"/>
      <c r="AQ470" s="165"/>
    </row>
    <row r="471" ht="15.75" customHeight="1">
      <c r="H471" s="440"/>
      <c r="U471" s="441"/>
      <c r="V471" s="441"/>
      <c r="W471" s="441"/>
      <c r="X471" s="441"/>
      <c r="Y471" s="442"/>
      <c r="Z471" s="165"/>
      <c r="AA471" s="165"/>
      <c r="AB471" s="165"/>
      <c r="AC471" s="165"/>
      <c r="AD471" s="165"/>
      <c r="AE471" s="165"/>
      <c r="AF471" s="165"/>
      <c r="AG471" s="165"/>
      <c r="AH471" s="165"/>
      <c r="AI471" s="165"/>
      <c r="AJ471" s="165"/>
      <c r="AK471" s="165"/>
      <c r="AL471" s="165"/>
      <c r="AM471" s="165"/>
      <c r="AN471" s="165"/>
      <c r="AO471" s="165"/>
      <c r="AP471" s="165"/>
      <c r="AQ471" s="165"/>
    </row>
    <row r="472" ht="15.75" customHeight="1">
      <c r="H472" s="440"/>
      <c r="U472" s="441"/>
      <c r="V472" s="441"/>
      <c r="W472" s="441"/>
      <c r="X472" s="441"/>
      <c r="Y472" s="442"/>
      <c r="Z472" s="165"/>
      <c r="AA472" s="165"/>
      <c r="AB472" s="165"/>
      <c r="AC472" s="165"/>
      <c r="AD472" s="165"/>
      <c r="AE472" s="165"/>
      <c r="AF472" s="165"/>
      <c r="AG472" s="165"/>
      <c r="AH472" s="165"/>
      <c r="AI472" s="165"/>
      <c r="AJ472" s="165"/>
      <c r="AK472" s="165"/>
      <c r="AL472" s="165"/>
      <c r="AM472" s="165"/>
      <c r="AN472" s="165"/>
      <c r="AO472" s="165"/>
      <c r="AP472" s="165"/>
      <c r="AQ472" s="165"/>
    </row>
    <row r="473" ht="15.75" customHeight="1">
      <c r="H473" s="440"/>
      <c r="U473" s="441"/>
      <c r="V473" s="441"/>
      <c r="W473" s="441"/>
      <c r="X473" s="441"/>
      <c r="Y473" s="442"/>
      <c r="Z473" s="165"/>
      <c r="AA473" s="165"/>
      <c r="AB473" s="165"/>
      <c r="AC473" s="165"/>
      <c r="AD473" s="165"/>
      <c r="AE473" s="165"/>
      <c r="AF473" s="165"/>
      <c r="AG473" s="165"/>
      <c r="AH473" s="165"/>
      <c r="AI473" s="165"/>
      <c r="AJ473" s="165"/>
      <c r="AK473" s="165"/>
      <c r="AL473" s="165"/>
      <c r="AM473" s="165"/>
      <c r="AN473" s="165"/>
      <c r="AO473" s="165"/>
      <c r="AP473" s="165"/>
      <c r="AQ473" s="165"/>
    </row>
    <row r="474" ht="15.75" customHeight="1">
      <c r="H474" s="440"/>
      <c r="U474" s="441"/>
      <c r="V474" s="441"/>
      <c r="W474" s="441"/>
      <c r="X474" s="441"/>
      <c r="Y474" s="442"/>
      <c r="Z474" s="165"/>
      <c r="AA474" s="165"/>
      <c r="AB474" s="165"/>
      <c r="AC474" s="165"/>
      <c r="AD474" s="165"/>
      <c r="AE474" s="165"/>
      <c r="AF474" s="165"/>
      <c r="AG474" s="165"/>
      <c r="AH474" s="165"/>
      <c r="AI474" s="165"/>
      <c r="AJ474" s="165"/>
      <c r="AK474" s="165"/>
      <c r="AL474" s="165"/>
      <c r="AM474" s="165"/>
      <c r="AN474" s="165"/>
      <c r="AO474" s="165"/>
      <c r="AP474" s="165"/>
      <c r="AQ474" s="165"/>
    </row>
    <row r="475" ht="15.75" customHeight="1">
      <c r="H475" s="440"/>
      <c r="U475" s="441"/>
      <c r="V475" s="441"/>
      <c r="W475" s="441"/>
      <c r="X475" s="441"/>
      <c r="Y475" s="442"/>
      <c r="Z475" s="165"/>
      <c r="AA475" s="165"/>
      <c r="AB475" s="165"/>
      <c r="AC475" s="165"/>
      <c r="AD475" s="165"/>
      <c r="AE475" s="165"/>
      <c r="AF475" s="165"/>
      <c r="AG475" s="165"/>
      <c r="AH475" s="165"/>
      <c r="AI475" s="165"/>
      <c r="AJ475" s="165"/>
      <c r="AK475" s="165"/>
      <c r="AL475" s="165"/>
      <c r="AM475" s="165"/>
      <c r="AN475" s="165"/>
      <c r="AO475" s="165"/>
      <c r="AP475" s="165"/>
      <c r="AQ475" s="165"/>
    </row>
    <row r="476" ht="15.75" customHeight="1">
      <c r="H476" s="440"/>
      <c r="U476" s="441"/>
      <c r="V476" s="441"/>
      <c r="W476" s="441"/>
      <c r="X476" s="441"/>
      <c r="Y476" s="442"/>
      <c r="Z476" s="165"/>
      <c r="AA476" s="165"/>
      <c r="AB476" s="165"/>
      <c r="AC476" s="165"/>
      <c r="AD476" s="165"/>
      <c r="AE476" s="165"/>
      <c r="AF476" s="165"/>
      <c r="AG476" s="165"/>
      <c r="AH476" s="165"/>
      <c r="AI476" s="165"/>
      <c r="AJ476" s="165"/>
      <c r="AK476" s="165"/>
      <c r="AL476" s="165"/>
      <c r="AM476" s="165"/>
      <c r="AN476" s="165"/>
      <c r="AO476" s="165"/>
      <c r="AP476" s="165"/>
      <c r="AQ476" s="165"/>
    </row>
    <row r="477" ht="15.75" customHeight="1">
      <c r="H477" s="440"/>
      <c r="U477" s="441"/>
      <c r="V477" s="441"/>
      <c r="W477" s="441"/>
      <c r="X477" s="441"/>
      <c r="Y477" s="442"/>
      <c r="Z477" s="165"/>
      <c r="AA477" s="165"/>
      <c r="AB477" s="165"/>
      <c r="AC477" s="165"/>
      <c r="AD477" s="165"/>
      <c r="AE477" s="165"/>
      <c r="AF477" s="165"/>
      <c r="AG477" s="165"/>
      <c r="AH477" s="165"/>
      <c r="AI477" s="165"/>
      <c r="AJ477" s="165"/>
      <c r="AK477" s="165"/>
      <c r="AL477" s="165"/>
      <c r="AM477" s="165"/>
      <c r="AN477" s="165"/>
      <c r="AO477" s="165"/>
      <c r="AP477" s="165"/>
      <c r="AQ477" s="165"/>
    </row>
    <row r="478" ht="15.75" customHeight="1">
      <c r="H478" s="440"/>
      <c r="U478" s="441"/>
      <c r="V478" s="441"/>
      <c r="W478" s="441"/>
      <c r="X478" s="441"/>
      <c r="Y478" s="442"/>
      <c r="Z478" s="165"/>
      <c r="AA478" s="165"/>
      <c r="AB478" s="165"/>
      <c r="AC478" s="165"/>
      <c r="AD478" s="165"/>
      <c r="AE478" s="165"/>
      <c r="AF478" s="165"/>
      <c r="AG478" s="165"/>
      <c r="AH478" s="165"/>
      <c r="AI478" s="165"/>
      <c r="AJ478" s="165"/>
      <c r="AK478" s="165"/>
      <c r="AL478" s="165"/>
      <c r="AM478" s="165"/>
      <c r="AN478" s="165"/>
      <c r="AO478" s="165"/>
      <c r="AP478" s="165"/>
      <c r="AQ478" s="165"/>
    </row>
    <row r="479" ht="15.75" customHeight="1">
      <c r="H479" s="440"/>
      <c r="U479" s="441"/>
      <c r="V479" s="441"/>
      <c r="W479" s="441"/>
      <c r="X479" s="441"/>
      <c r="Y479" s="442"/>
      <c r="Z479" s="165"/>
      <c r="AA479" s="165"/>
      <c r="AB479" s="165"/>
      <c r="AC479" s="165"/>
      <c r="AD479" s="165"/>
      <c r="AE479" s="165"/>
      <c r="AF479" s="165"/>
      <c r="AG479" s="165"/>
      <c r="AH479" s="165"/>
      <c r="AI479" s="165"/>
      <c r="AJ479" s="165"/>
      <c r="AK479" s="165"/>
      <c r="AL479" s="165"/>
      <c r="AM479" s="165"/>
      <c r="AN479" s="165"/>
      <c r="AO479" s="165"/>
      <c r="AP479" s="165"/>
      <c r="AQ479" s="165"/>
    </row>
    <row r="480" ht="15.75" customHeight="1">
      <c r="H480" s="440"/>
      <c r="U480" s="441"/>
      <c r="V480" s="441"/>
      <c r="W480" s="441"/>
      <c r="X480" s="441"/>
      <c r="Y480" s="442"/>
      <c r="Z480" s="165"/>
      <c r="AA480" s="165"/>
      <c r="AB480" s="165"/>
      <c r="AC480" s="165"/>
      <c r="AD480" s="165"/>
      <c r="AE480" s="165"/>
      <c r="AF480" s="165"/>
      <c r="AG480" s="165"/>
      <c r="AH480" s="165"/>
      <c r="AI480" s="165"/>
      <c r="AJ480" s="165"/>
      <c r="AK480" s="165"/>
      <c r="AL480" s="165"/>
      <c r="AM480" s="165"/>
      <c r="AN480" s="165"/>
      <c r="AO480" s="165"/>
      <c r="AP480" s="165"/>
      <c r="AQ480" s="165"/>
    </row>
    <row r="481" ht="15.75" customHeight="1">
      <c r="H481" s="440"/>
      <c r="U481" s="441"/>
      <c r="V481" s="441"/>
      <c r="W481" s="441"/>
      <c r="X481" s="441"/>
      <c r="Y481" s="442"/>
      <c r="Z481" s="165"/>
      <c r="AA481" s="165"/>
      <c r="AB481" s="165"/>
      <c r="AC481" s="165"/>
      <c r="AD481" s="165"/>
      <c r="AE481" s="165"/>
      <c r="AF481" s="165"/>
      <c r="AG481" s="165"/>
      <c r="AH481" s="165"/>
      <c r="AI481" s="165"/>
      <c r="AJ481" s="165"/>
      <c r="AK481" s="165"/>
      <c r="AL481" s="165"/>
      <c r="AM481" s="165"/>
      <c r="AN481" s="165"/>
      <c r="AO481" s="165"/>
      <c r="AP481" s="165"/>
      <c r="AQ481" s="165"/>
    </row>
    <row r="482" ht="15.75" customHeight="1">
      <c r="H482" s="440"/>
      <c r="U482" s="441"/>
      <c r="V482" s="441"/>
      <c r="W482" s="441"/>
      <c r="X482" s="441"/>
      <c r="Y482" s="442"/>
      <c r="Z482" s="165"/>
      <c r="AA482" s="165"/>
      <c r="AB482" s="165"/>
      <c r="AC482" s="165"/>
      <c r="AD482" s="165"/>
      <c r="AE482" s="165"/>
      <c r="AF482" s="165"/>
      <c r="AG482" s="165"/>
      <c r="AH482" s="165"/>
      <c r="AI482" s="165"/>
      <c r="AJ482" s="165"/>
      <c r="AK482" s="165"/>
      <c r="AL482" s="165"/>
      <c r="AM482" s="165"/>
      <c r="AN482" s="165"/>
      <c r="AO482" s="165"/>
      <c r="AP482" s="165"/>
      <c r="AQ482" s="165"/>
    </row>
    <row r="483" ht="15.75" customHeight="1">
      <c r="H483" s="440"/>
      <c r="U483" s="441"/>
      <c r="V483" s="441"/>
      <c r="W483" s="441"/>
      <c r="X483" s="441"/>
      <c r="Y483" s="442"/>
      <c r="Z483" s="165"/>
      <c r="AA483" s="165"/>
      <c r="AB483" s="165"/>
      <c r="AC483" s="165"/>
      <c r="AD483" s="165"/>
      <c r="AE483" s="165"/>
      <c r="AF483" s="165"/>
      <c r="AG483" s="165"/>
      <c r="AH483" s="165"/>
      <c r="AI483" s="165"/>
      <c r="AJ483" s="165"/>
      <c r="AK483" s="165"/>
      <c r="AL483" s="165"/>
      <c r="AM483" s="165"/>
      <c r="AN483" s="165"/>
      <c r="AO483" s="165"/>
      <c r="AP483" s="165"/>
      <c r="AQ483" s="165"/>
    </row>
    <row r="484" ht="15.75" customHeight="1">
      <c r="H484" s="440"/>
      <c r="U484" s="441"/>
      <c r="V484" s="441"/>
      <c r="W484" s="441"/>
      <c r="X484" s="441"/>
      <c r="Y484" s="442"/>
      <c r="Z484" s="165"/>
      <c r="AA484" s="165"/>
      <c r="AB484" s="165"/>
      <c r="AC484" s="165"/>
      <c r="AD484" s="165"/>
      <c r="AE484" s="165"/>
      <c r="AF484" s="165"/>
      <c r="AG484" s="165"/>
      <c r="AH484" s="165"/>
      <c r="AI484" s="165"/>
      <c r="AJ484" s="165"/>
      <c r="AK484" s="165"/>
      <c r="AL484" s="165"/>
      <c r="AM484" s="165"/>
      <c r="AN484" s="165"/>
      <c r="AO484" s="165"/>
      <c r="AP484" s="165"/>
      <c r="AQ484" s="165"/>
    </row>
    <row r="485" ht="15.75" customHeight="1">
      <c r="H485" s="440"/>
      <c r="U485" s="441"/>
      <c r="V485" s="441"/>
      <c r="W485" s="441"/>
      <c r="X485" s="441"/>
      <c r="Y485" s="442"/>
      <c r="Z485" s="165"/>
      <c r="AA485" s="165"/>
      <c r="AB485" s="165"/>
      <c r="AC485" s="165"/>
      <c r="AD485" s="165"/>
      <c r="AE485" s="165"/>
      <c r="AF485" s="165"/>
      <c r="AG485" s="165"/>
      <c r="AH485" s="165"/>
      <c r="AI485" s="165"/>
      <c r="AJ485" s="165"/>
      <c r="AK485" s="165"/>
      <c r="AL485" s="165"/>
      <c r="AM485" s="165"/>
      <c r="AN485" s="165"/>
      <c r="AO485" s="165"/>
      <c r="AP485" s="165"/>
      <c r="AQ485" s="165"/>
    </row>
    <row r="486" ht="15.75" customHeight="1">
      <c r="H486" s="440"/>
      <c r="U486" s="441"/>
      <c r="V486" s="441"/>
      <c r="W486" s="441"/>
      <c r="X486" s="441"/>
      <c r="Y486" s="442"/>
      <c r="Z486" s="165"/>
      <c r="AA486" s="165"/>
      <c r="AB486" s="165"/>
      <c r="AC486" s="165"/>
      <c r="AD486" s="165"/>
      <c r="AE486" s="165"/>
      <c r="AF486" s="165"/>
      <c r="AG486" s="165"/>
      <c r="AH486" s="165"/>
      <c r="AI486" s="165"/>
      <c r="AJ486" s="165"/>
      <c r="AK486" s="165"/>
      <c r="AL486" s="165"/>
      <c r="AM486" s="165"/>
      <c r="AN486" s="165"/>
      <c r="AO486" s="165"/>
      <c r="AP486" s="165"/>
      <c r="AQ486" s="165"/>
    </row>
    <row r="487" ht="15.75" customHeight="1">
      <c r="H487" s="440"/>
      <c r="U487" s="441"/>
      <c r="V487" s="441"/>
      <c r="W487" s="441"/>
      <c r="X487" s="441"/>
      <c r="Y487" s="442"/>
      <c r="Z487" s="165"/>
      <c r="AA487" s="165"/>
      <c r="AB487" s="165"/>
      <c r="AC487" s="165"/>
      <c r="AD487" s="165"/>
      <c r="AE487" s="165"/>
      <c r="AF487" s="165"/>
      <c r="AG487" s="165"/>
      <c r="AH487" s="165"/>
      <c r="AI487" s="165"/>
      <c r="AJ487" s="165"/>
      <c r="AK487" s="165"/>
      <c r="AL487" s="165"/>
      <c r="AM487" s="165"/>
      <c r="AN487" s="165"/>
      <c r="AO487" s="165"/>
      <c r="AP487" s="165"/>
      <c r="AQ487" s="165"/>
    </row>
    <row r="488" ht="15.75" customHeight="1">
      <c r="H488" s="440"/>
      <c r="U488" s="441"/>
      <c r="V488" s="441"/>
      <c r="W488" s="441"/>
      <c r="X488" s="441"/>
      <c r="Y488" s="442"/>
      <c r="Z488" s="165"/>
      <c r="AA488" s="165"/>
      <c r="AB488" s="165"/>
      <c r="AC488" s="165"/>
      <c r="AD488" s="165"/>
      <c r="AE488" s="165"/>
      <c r="AF488" s="165"/>
      <c r="AG488" s="165"/>
      <c r="AH488" s="165"/>
      <c r="AI488" s="165"/>
      <c r="AJ488" s="165"/>
      <c r="AK488" s="165"/>
      <c r="AL488" s="165"/>
      <c r="AM488" s="165"/>
      <c r="AN488" s="165"/>
      <c r="AO488" s="165"/>
      <c r="AP488" s="165"/>
      <c r="AQ488" s="165"/>
    </row>
    <row r="489" ht="15.75" customHeight="1">
      <c r="H489" s="440"/>
      <c r="U489" s="441"/>
      <c r="V489" s="441"/>
      <c r="W489" s="441"/>
      <c r="X489" s="441"/>
      <c r="Y489" s="442"/>
      <c r="Z489" s="165"/>
      <c r="AA489" s="165"/>
      <c r="AB489" s="165"/>
      <c r="AC489" s="165"/>
      <c r="AD489" s="165"/>
      <c r="AE489" s="165"/>
      <c r="AF489" s="165"/>
      <c r="AG489" s="165"/>
      <c r="AH489" s="165"/>
      <c r="AI489" s="165"/>
      <c r="AJ489" s="165"/>
      <c r="AK489" s="165"/>
      <c r="AL489" s="165"/>
      <c r="AM489" s="165"/>
      <c r="AN489" s="165"/>
      <c r="AO489" s="165"/>
      <c r="AP489" s="165"/>
      <c r="AQ489" s="165"/>
    </row>
    <row r="490" ht="15.75" customHeight="1">
      <c r="H490" s="440"/>
      <c r="U490" s="441"/>
      <c r="V490" s="441"/>
      <c r="W490" s="441"/>
      <c r="X490" s="441"/>
      <c r="Y490" s="442"/>
      <c r="Z490" s="165"/>
      <c r="AA490" s="165"/>
      <c r="AB490" s="165"/>
      <c r="AC490" s="165"/>
      <c r="AD490" s="165"/>
      <c r="AE490" s="165"/>
      <c r="AF490" s="165"/>
      <c r="AG490" s="165"/>
      <c r="AH490" s="165"/>
      <c r="AI490" s="165"/>
      <c r="AJ490" s="165"/>
      <c r="AK490" s="165"/>
      <c r="AL490" s="165"/>
      <c r="AM490" s="165"/>
      <c r="AN490" s="165"/>
      <c r="AO490" s="165"/>
      <c r="AP490" s="165"/>
      <c r="AQ490" s="165"/>
    </row>
    <row r="491" ht="15.75" customHeight="1">
      <c r="H491" s="440"/>
      <c r="U491" s="441"/>
      <c r="V491" s="441"/>
      <c r="W491" s="441"/>
      <c r="X491" s="441"/>
      <c r="Y491" s="442"/>
      <c r="Z491" s="165"/>
      <c r="AA491" s="165"/>
      <c r="AB491" s="165"/>
      <c r="AC491" s="165"/>
      <c r="AD491" s="165"/>
      <c r="AE491" s="165"/>
      <c r="AF491" s="165"/>
      <c r="AG491" s="165"/>
      <c r="AH491" s="165"/>
      <c r="AI491" s="165"/>
      <c r="AJ491" s="165"/>
      <c r="AK491" s="165"/>
      <c r="AL491" s="165"/>
      <c r="AM491" s="165"/>
      <c r="AN491" s="165"/>
      <c r="AO491" s="165"/>
      <c r="AP491" s="165"/>
      <c r="AQ491" s="165"/>
    </row>
    <row r="492" ht="15.75" customHeight="1">
      <c r="H492" s="440"/>
      <c r="U492" s="441"/>
      <c r="V492" s="441"/>
      <c r="W492" s="441"/>
      <c r="X492" s="441"/>
      <c r="Y492" s="442"/>
      <c r="Z492" s="165"/>
      <c r="AA492" s="165"/>
      <c r="AB492" s="165"/>
      <c r="AC492" s="165"/>
      <c r="AD492" s="165"/>
      <c r="AE492" s="165"/>
      <c r="AF492" s="165"/>
      <c r="AG492" s="165"/>
      <c r="AH492" s="165"/>
      <c r="AI492" s="165"/>
      <c r="AJ492" s="165"/>
      <c r="AK492" s="165"/>
      <c r="AL492" s="165"/>
      <c r="AM492" s="165"/>
      <c r="AN492" s="165"/>
      <c r="AO492" s="165"/>
      <c r="AP492" s="165"/>
      <c r="AQ492" s="165"/>
    </row>
    <row r="493" ht="15.75" customHeight="1">
      <c r="H493" s="440"/>
      <c r="U493" s="441"/>
      <c r="V493" s="441"/>
      <c r="W493" s="441"/>
      <c r="X493" s="441"/>
      <c r="Y493" s="442"/>
      <c r="Z493" s="165"/>
      <c r="AA493" s="165"/>
      <c r="AB493" s="165"/>
      <c r="AC493" s="165"/>
      <c r="AD493" s="165"/>
      <c r="AE493" s="165"/>
      <c r="AF493" s="165"/>
      <c r="AG493" s="165"/>
      <c r="AH493" s="165"/>
      <c r="AI493" s="165"/>
      <c r="AJ493" s="165"/>
      <c r="AK493" s="165"/>
      <c r="AL493" s="165"/>
      <c r="AM493" s="165"/>
      <c r="AN493" s="165"/>
      <c r="AO493" s="165"/>
      <c r="AP493" s="165"/>
      <c r="AQ493" s="165"/>
    </row>
    <row r="494" ht="15.75" customHeight="1">
      <c r="H494" s="440"/>
      <c r="U494" s="441"/>
      <c r="V494" s="441"/>
      <c r="W494" s="441"/>
      <c r="X494" s="441"/>
      <c r="Y494" s="442"/>
      <c r="Z494" s="165"/>
      <c r="AA494" s="165"/>
      <c r="AB494" s="165"/>
      <c r="AC494" s="165"/>
      <c r="AD494" s="165"/>
      <c r="AE494" s="165"/>
      <c r="AF494" s="165"/>
      <c r="AG494" s="165"/>
      <c r="AH494" s="165"/>
      <c r="AI494" s="165"/>
      <c r="AJ494" s="165"/>
      <c r="AK494" s="165"/>
      <c r="AL494" s="165"/>
      <c r="AM494" s="165"/>
      <c r="AN494" s="165"/>
      <c r="AO494" s="165"/>
      <c r="AP494" s="165"/>
      <c r="AQ494" s="165"/>
    </row>
    <row r="495" ht="15.75" customHeight="1">
      <c r="H495" s="440"/>
      <c r="U495" s="441"/>
      <c r="V495" s="441"/>
      <c r="W495" s="441"/>
      <c r="X495" s="441"/>
      <c r="Y495" s="442"/>
      <c r="Z495" s="165"/>
      <c r="AA495" s="165"/>
      <c r="AB495" s="165"/>
      <c r="AC495" s="165"/>
      <c r="AD495" s="165"/>
      <c r="AE495" s="165"/>
      <c r="AF495" s="165"/>
      <c r="AG495" s="165"/>
      <c r="AH495" s="165"/>
      <c r="AI495" s="165"/>
      <c r="AJ495" s="165"/>
      <c r="AK495" s="165"/>
      <c r="AL495" s="165"/>
      <c r="AM495" s="165"/>
      <c r="AN495" s="165"/>
      <c r="AO495" s="165"/>
      <c r="AP495" s="165"/>
      <c r="AQ495" s="165"/>
    </row>
    <row r="496" ht="15.75" customHeight="1">
      <c r="H496" s="440"/>
      <c r="U496" s="441"/>
      <c r="V496" s="441"/>
      <c r="W496" s="441"/>
      <c r="X496" s="441"/>
      <c r="Y496" s="442"/>
      <c r="Z496" s="165"/>
      <c r="AA496" s="165"/>
      <c r="AB496" s="165"/>
      <c r="AC496" s="165"/>
      <c r="AD496" s="165"/>
      <c r="AE496" s="165"/>
      <c r="AF496" s="165"/>
      <c r="AG496" s="165"/>
      <c r="AH496" s="165"/>
      <c r="AI496" s="165"/>
      <c r="AJ496" s="165"/>
      <c r="AK496" s="165"/>
      <c r="AL496" s="165"/>
      <c r="AM496" s="165"/>
      <c r="AN496" s="165"/>
      <c r="AO496" s="165"/>
      <c r="AP496" s="165"/>
      <c r="AQ496" s="165"/>
    </row>
    <row r="497" ht="15.75" customHeight="1">
      <c r="H497" s="440"/>
      <c r="U497" s="441"/>
      <c r="V497" s="441"/>
      <c r="W497" s="441"/>
      <c r="X497" s="441"/>
      <c r="Y497" s="442"/>
      <c r="Z497" s="165"/>
      <c r="AA497" s="165"/>
      <c r="AB497" s="165"/>
      <c r="AC497" s="165"/>
      <c r="AD497" s="165"/>
      <c r="AE497" s="165"/>
      <c r="AF497" s="165"/>
      <c r="AG497" s="165"/>
      <c r="AH497" s="165"/>
      <c r="AI497" s="165"/>
      <c r="AJ497" s="165"/>
      <c r="AK497" s="165"/>
      <c r="AL497" s="165"/>
      <c r="AM497" s="165"/>
      <c r="AN497" s="165"/>
      <c r="AO497" s="165"/>
      <c r="AP497" s="165"/>
      <c r="AQ497" s="165"/>
    </row>
    <row r="498" ht="15.75" customHeight="1">
      <c r="H498" s="440"/>
      <c r="U498" s="441"/>
      <c r="V498" s="441"/>
      <c r="W498" s="441"/>
      <c r="X498" s="441"/>
      <c r="Y498" s="442"/>
      <c r="Z498" s="165"/>
      <c r="AA498" s="165"/>
      <c r="AB498" s="165"/>
      <c r="AC498" s="165"/>
      <c r="AD498" s="165"/>
      <c r="AE498" s="165"/>
      <c r="AF498" s="165"/>
      <c r="AG498" s="165"/>
      <c r="AH498" s="165"/>
      <c r="AI498" s="165"/>
      <c r="AJ498" s="165"/>
      <c r="AK498" s="165"/>
      <c r="AL498" s="165"/>
      <c r="AM498" s="165"/>
      <c r="AN498" s="165"/>
      <c r="AO498" s="165"/>
      <c r="AP498" s="165"/>
      <c r="AQ498" s="165"/>
    </row>
    <row r="499" ht="15.75" customHeight="1">
      <c r="H499" s="440"/>
      <c r="U499" s="441"/>
      <c r="V499" s="441"/>
      <c r="W499" s="441"/>
      <c r="X499" s="441"/>
      <c r="Y499" s="442"/>
      <c r="Z499" s="165"/>
      <c r="AA499" s="165"/>
      <c r="AB499" s="165"/>
      <c r="AC499" s="165"/>
      <c r="AD499" s="165"/>
      <c r="AE499" s="165"/>
      <c r="AF499" s="165"/>
      <c r="AG499" s="165"/>
      <c r="AH499" s="165"/>
      <c r="AI499" s="165"/>
      <c r="AJ499" s="165"/>
      <c r="AK499" s="165"/>
      <c r="AL499" s="165"/>
      <c r="AM499" s="165"/>
      <c r="AN499" s="165"/>
      <c r="AO499" s="165"/>
      <c r="AP499" s="165"/>
      <c r="AQ499" s="165"/>
    </row>
    <row r="500" ht="15.75" customHeight="1">
      <c r="H500" s="440"/>
      <c r="U500" s="441"/>
      <c r="V500" s="441"/>
      <c r="W500" s="441"/>
      <c r="X500" s="441"/>
      <c r="Y500" s="442"/>
      <c r="Z500" s="165"/>
      <c r="AA500" s="165"/>
      <c r="AB500" s="165"/>
      <c r="AC500" s="165"/>
      <c r="AD500" s="165"/>
      <c r="AE500" s="165"/>
      <c r="AF500" s="165"/>
      <c r="AG500" s="165"/>
      <c r="AH500" s="165"/>
      <c r="AI500" s="165"/>
      <c r="AJ500" s="165"/>
      <c r="AK500" s="165"/>
      <c r="AL500" s="165"/>
      <c r="AM500" s="165"/>
      <c r="AN500" s="165"/>
      <c r="AO500" s="165"/>
      <c r="AP500" s="165"/>
      <c r="AQ500" s="165"/>
    </row>
    <row r="501" ht="15.75" customHeight="1">
      <c r="H501" s="440"/>
      <c r="U501" s="441"/>
      <c r="V501" s="441"/>
      <c r="W501" s="441"/>
      <c r="X501" s="441"/>
      <c r="Y501" s="442"/>
      <c r="Z501" s="165"/>
      <c r="AA501" s="165"/>
      <c r="AB501" s="165"/>
      <c r="AC501" s="165"/>
      <c r="AD501" s="165"/>
      <c r="AE501" s="165"/>
      <c r="AF501" s="165"/>
      <c r="AG501" s="165"/>
      <c r="AH501" s="165"/>
      <c r="AI501" s="165"/>
      <c r="AJ501" s="165"/>
      <c r="AK501" s="165"/>
      <c r="AL501" s="165"/>
      <c r="AM501" s="165"/>
      <c r="AN501" s="165"/>
      <c r="AO501" s="165"/>
      <c r="AP501" s="165"/>
      <c r="AQ501" s="165"/>
    </row>
    <row r="502" ht="15.75" customHeight="1">
      <c r="H502" s="440"/>
      <c r="U502" s="441"/>
      <c r="V502" s="441"/>
      <c r="W502" s="441"/>
      <c r="X502" s="441"/>
      <c r="Y502" s="442"/>
      <c r="Z502" s="165"/>
      <c r="AA502" s="165"/>
      <c r="AB502" s="165"/>
      <c r="AC502" s="165"/>
      <c r="AD502" s="165"/>
      <c r="AE502" s="165"/>
      <c r="AF502" s="165"/>
      <c r="AG502" s="165"/>
      <c r="AH502" s="165"/>
      <c r="AI502" s="165"/>
      <c r="AJ502" s="165"/>
      <c r="AK502" s="165"/>
      <c r="AL502" s="165"/>
      <c r="AM502" s="165"/>
      <c r="AN502" s="165"/>
      <c r="AO502" s="165"/>
      <c r="AP502" s="165"/>
      <c r="AQ502" s="165"/>
    </row>
    <row r="503" ht="15.75" customHeight="1">
      <c r="H503" s="440"/>
      <c r="U503" s="441"/>
      <c r="V503" s="441"/>
      <c r="W503" s="441"/>
      <c r="X503" s="441"/>
      <c r="Y503" s="442"/>
      <c r="Z503" s="165"/>
      <c r="AA503" s="165"/>
      <c r="AB503" s="165"/>
      <c r="AC503" s="165"/>
      <c r="AD503" s="165"/>
      <c r="AE503" s="165"/>
      <c r="AF503" s="165"/>
      <c r="AG503" s="165"/>
      <c r="AH503" s="165"/>
      <c r="AI503" s="165"/>
      <c r="AJ503" s="165"/>
      <c r="AK503" s="165"/>
      <c r="AL503" s="165"/>
      <c r="AM503" s="165"/>
      <c r="AN503" s="165"/>
      <c r="AO503" s="165"/>
      <c r="AP503" s="165"/>
      <c r="AQ503" s="165"/>
    </row>
    <row r="504" ht="15.75" customHeight="1">
      <c r="H504" s="440"/>
      <c r="U504" s="441"/>
      <c r="V504" s="441"/>
      <c r="W504" s="441"/>
      <c r="X504" s="441"/>
      <c r="Y504" s="442"/>
      <c r="Z504" s="165"/>
      <c r="AA504" s="165"/>
      <c r="AB504" s="165"/>
      <c r="AC504" s="165"/>
      <c r="AD504" s="165"/>
      <c r="AE504" s="165"/>
      <c r="AF504" s="165"/>
      <c r="AG504" s="165"/>
      <c r="AH504" s="165"/>
      <c r="AI504" s="165"/>
      <c r="AJ504" s="165"/>
      <c r="AK504" s="165"/>
      <c r="AL504" s="165"/>
      <c r="AM504" s="165"/>
      <c r="AN504" s="165"/>
      <c r="AO504" s="165"/>
      <c r="AP504" s="165"/>
      <c r="AQ504" s="165"/>
    </row>
    <row r="505" ht="15.75" customHeight="1">
      <c r="H505" s="440"/>
      <c r="U505" s="441"/>
      <c r="V505" s="441"/>
      <c r="W505" s="441"/>
      <c r="X505" s="441"/>
      <c r="Y505" s="442"/>
      <c r="Z505" s="165"/>
      <c r="AA505" s="165"/>
      <c r="AB505" s="165"/>
      <c r="AC505" s="165"/>
      <c r="AD505" s="165"/>
      <c r="AE505" s="165"/>
      <c r="AF505" s="165"/>
      <c r="AG505" s="165"/>
      <c r="AH505" s="165"/>
      <c r="AI505" s="165"/>
      <c r="AJ505" s="165"/>
      <c r="AK505" s="165"/>
      <c r="AL505" s="165"/>
      <c r="AM505" s="165"/>
      <c r="AN505" s="165"/>
      <c r="AO505" s="165"/>
      <c r="AP505" s="165"/>
      <c r="AQ505" s="165"/>
    </row>
    <row r="506" ht="15.75" customHeight="1">
      <c r="H506" s="440"/>
      <c r="U506" s="441"/>
      <c r="V506" s="441"/>
      <c r="W506" s="441"/>
      <c r="X506" s="441"/>
      <c r="Y506" s="442"/>
      <c r="Z506" s="165"/>
      <c r="AA506" s="165"/>
      <c r="AB506" s="165"/>
      <c r="AC506" s="165"/>
      <c r="AD506" s="165"/>
      <c r="AE506" s="165"/>
      <c r="AF506" s="165"/>
      <c r="AG506" s="165"/>
      <c r="AH506" s="165"/>
      <c r="AI506" s="165"/>
      <c r="AJ506" s="165"/>
      <c r="AK506" s="165"/>
      <c r="AL506" s="165"/>
      <c r="AM506" s="165"/>
      <c r="AN506" s="165"/>
      <c r="AO506" s="165"/>
      <c r="AP506" s="165"/>
      <c r="AQ506" s="165"/>
    </row>
    <row r="507" ht="15.75" customHeight="1">
      <c r="H507" s="440"/>
      <c r="U507" s="441"/>
      <c r="V507" s="441"/>
      <c r="W507" s="441"/>
      <c r="X507" s="441"/>
      <c r="Y507" s="442"/>
      <c r="Z507" s="165"/>
      <c r="AA507" s="165"/>
      <c r="AB507" s="165"/>
      <c r="AC507" s="165"/>
      <c r="AD507" s="165"/>
      <c r="AE507" s="165"/>
      <c r="AF507" s="165"/>
      <c r="AG507" s="165"/>
      <c r="AH507" s="165"/>
      <c r="AI507" s="165"/>
      <c r="AJ507" s="165"/>
      <c r="AK507" s="165"/>
      <c r="AL507" s="165"/>
      <c r="AM507" s="165"/>
      <c r="AN507" s="165"/>
      <c r="AO507" s="165"/>
      <c r="AP507" s="165"/>
      <c r="AQ507" s="165"/>
    </row>
    <row r="508" ht="15.75" customHeight="1">
      <c r="H508" s="440"/>
      <c r="U508" s="441"/>
      <c r="V508" s="441"/>
      <c r="W508" s="441"/>
      <c r="X508" s="441"/>
      <c r="Y508" s="442"/>
      <c r="Z508" s="165"/>
      <c r="AA508" s="165"/>
      <c r="AB508" s="165"/>
      <c r="AC508" s="165"/>
      <c r="AD508" s="165"/>
      <c r="AE508" s="165"/>
      <c r="AF508" s="165"/>
      <c r="AG508" s="165"/>
      <c r="AH508" s="165"/>
      <c r="AI508" s="165"/>
      <c r="AJ508" s="165"/>
      <c r="AK508" s="165"/>
      <c r="AL508" s="165"/>
      <c r="AM508" s="165"/>
      <c r="AN508" s="165"/>
      <c r="AO508" s="165"/>
      <c r="AP508" s="165"/>
      <c r="AQ508" s="165"/>
    </row>
    <row r="509" ht="15.75" customHeight="1">
      <c r="H509" s="440"/>
      <c r="U509" s="441"/>
      <c r="V509" s="441"/>
      <c r="W509" s="441"/>
      <c r="X509" s="441"/>
      <c r="Y509" s="442"/>
      <c r="Z509" s="165"/>
      <c r="AA509" s="165"/>
      <c r="AB509" s="165"/>
      <c r="AC509" s="165"/>
      <c r="AD509" s="165"/>
      <c r="AE509" s="165"/>
      <c r="AF509" s="165"/>
      <c r="AG509" s="165"/>
      <c r="AH509" s="165"/>
      <c r="AI509" s="165"/>
      <c r="AJ509" s="165"/>
      <c r="AK509" s="165"/>
      <c r="AL509" s="165"/>
      <c r="AM509" s="165"/>
      <c r="AN509" s="165"/>
      <c r="AO509" s="165"/>
      <c r="AP509" s="165"/>
      <c r="AQ509" s="165"/>
    </row>
    <row r="510" ht="15.75" customHeight="1">
      <c r="H510" s="440"/>
      <c r="U510" s="441"/>
      <c r="V510" s="441"/>
      <c r="W510" s="441"/>
      <c r="X510" s="441"/>
      <c r="Y510" s="442"/>
      <c r="Z510" s="165"/>
      <c r="AA510" s="165"/>
      <c r="AB510" s="165"/>
      <c r="AC510" s="165"/>
      <c r="AD510" s="165"/>
      <c r="AE510" s="165"/>
      <c r="AF510" s="165"/>
      <c r="AG510" s="165"/>
      <c r="AH510" s="165"/>
      <c r="AI510" s="165"/>
      <c r="AJ510" s="165"/>
      <c r="AK510" s="165"/>
      <c r="AL510" s="165"/>
      <c r="AM510" s="165"/>
      <c r="AN510" s="165"/>
      <c r="AO510" s="165"/>
      <c r="AP510" s="165"/>
      <c r="AQ510" s="165"/>
    </row>
    <row r="511" ht="15.75" customHeight="1">
      <c r="H511" s="440"/>
      <c r="U511" s="441"/>
      <c r="V511" s="441"/>
      <c r="W511" s="441"/>
      <c r="X511" s="441"/>
      <c r="Y511" s="442"/>
      <c r="Z511" s="165"/>
      <c r="AA511" s="165"/>
      <c r="AB511" s="165"/>
      <c r="AC511" s="165"/>
      <c r="AD511" s="165"/>
      <c r="AE511" s="165"/>
      <c r="AF511" s="165"/>
      <c r="AG511" s="165"/>
      <c r="AH511" s="165"/>
      <c r="AI511" s="165"/>
      <c r="AJ511" s="165"/>
      <c r="AK511" s="165"/>
      <c r="AL511" s="165"/>
      <c r="AM511" s="165"/>
      <c r="AN511" s="165"/>
      <c r="AO511" s="165"/>
      <c r="AP511" s="165"/>
      <c r="AQ511" s="165"/>
    </row>
    <row r="512" ht="15.75" customHeight="1">
      <c r="H512" s="440"/>
      <c r="U512" s="441"/>
      <c r="V512" s="441"/>
      <c r="W512" s="441"/>
      <c r="X512" s="441"/>
      <c r="Y512" s="442"/>
      <c r="Z512" s="165"/>
      <c r="AA512" s="165"/>
      <c r="AB512" s="165"/>
      <c r="AC512" s="165"/>
      <c r="AD512" s="165"/>
      <c r="AE512" s="165"/>
      <c r="AF512" s="165"/>
      <c r="AG512" s="165"/>
      <c r="AH512" s="165"/>
      <c r="AI512" s="165"/>
      <c r="AJ512" s="165"/>
      <c r="AK512" s="165"/>
      <c r="AL512" s="165"/>
      <c r="AM512" s="165"/>
      <c r="AN512" s="165"/>
      <c r="AO512" s="165"/>
      <c r="AP512" s="165"/>
      <c r="AQ512" s="165"/>
    </row>
    <row r="513" ht="15.75" customHeight="1">
      <c r="H513" s="440"/>
      <c r="U513" s="441"/>
      <c r="V513" s="441"/>
      <c r="W513" s="441"/>
      <c r="X513" s="441"/>
      <c r="Y513" s="442"/>
      <c r="Z513" s="165"/>
      <c r="AA513" s="165"/>
      <c r="AB513" s="165"/>
      <c r="AC513" s="165"/>
      <c r="AD513" s="165"/>
      <c r="AE513" s="165"/>
      <c r="AF513" s="165"/>
      <c r="AG513" s="165"/>
      <c r="AH513" s="165"/>
      <c r="AI513" s="165"/>
      <c r="AJ513" s="165"/>
      <c r="AK513" s="165"/>
      <c r="AL513" s="165"/>
      <c r="AM513" s="165"/>
      <c r="AN513" s="165"/>
      <c r="AO513" s="165"/>
      <c r="AP513" s="165"/>
      <c r="AQ513" s="165"/>
    </row>
    <row r="514" ht="15.75" customHeight="1">
      <c r="H514" s="440"/>
      <c r="U514" s="441"/>
      <c r="V514" s="441"/>
      <c r="W514" s="441"/>
      <c r="X514" s="441"/>
      <c r="Y514" s="442"/>
      <c r="Z514" s="165"/>
      <c r="AA514" s="165"/>
      <c r="AB514" s="165"/>
      <c r="AC514" s="165"/>
      <c r="AD514" s="165"/>
      <c r="AE514" s="165"/>
      <c r="AF514" s="165"/>
      <c r="AG514" s="165"/>
      <c r="AH514" s="165"/>
      <c r="AI514" s="165"/>
      <c r="AJ514" s="165"/>
      <c r="AK514" s="165"/>
      <c r="AL514" s="165"/>
      <c r="AM514" s="165"/>
      <c r="AN514" s="165"/>
      <c r="AO514" s="165"/>
      <c r="AP514" s="165"/>
      <c r="AQ514" s="165"/>
    </row>
    <row r="515" ht="15.75" customHeight="1">
      <c r="H515" s="440"/>
      <c r="U515" s="441"/>
      <c r="V515" s="441"/>
      <c r="W515" s="441"/>
      <c r="X515" s="441"/>
      <c r="Y515" s="442"/>
      <c r="Z515" s="165"/>
      <c r="AA515" s="165"/>
      <c r="AB515" s="165"/>
      <c r="AC515" s="165"/>
      <c r="AD515" s="165"/>
      <c r="AE515" s="165"/>
      <c r="AF515" s="165"/>
      <c r="AG515" s="165"/>
      <c r="AH515" s="165"/>
      <c r="AI515" s="165"/>
      <c r="AJ515" s="165"/>
      <c r="AK515" s="165"/>
      <c r="AL515" s="165"/>
      <c r="AM515" s="165"/>
      <c r="AN515" s="165"/>
      <c r="AO515" s="165"/>
      <c r="AP515" s="165"/>
      <c r="AQ515" s="165"/>
    </row>
    <row r="516" ht="15.75" customHeight="1">
      <c r="H516" s="440"/>
      <c r="U516" s="441"/>
      <c r="V516" s="441"/>
      <c r="W516" s="441"/>
      <c r="X516" s="441"/>
      <c r="Y516" s="442"/>
      <c r="Z516" s="165"/>
      <c r="AA516" s="165"/>
      <c r="AB516" s="165"/>
      <c r="AC516" s="165"/>
      <c r="AD516" s="165"/>
      <c r="AE516" s="165"/>
      <c r="AF516" s="165"/>
      <c r="AG516" s="165"/>
      <c r="AH516" s="165"/>
      <c r="AI516" s="165"/>
      <c r="AJ516" s="165"/>
      <c r="AK516" s="165"/>
      <c r="AL516" s="165"/>
      <c r="AM516" s="165"/>
      <c r="AN516" s="165"/>
      <c r="AO516" s="165"/>
      <c r="AP516" s="165"/>
      <c r="AQ516" s="165"/>
    </row>
    <row r="517" ht="15.75" customHeight="1">
      <c r="H517" s="440"/>
      <c r="U517" s="441"/>
      <c r="V517" s="441"/>
      <c r="W517" s="441"/>
      <c r="X517" s="441"/>
      <c r="Y517" s="442"/>
      <c r="Z517" s="165"/>
      <c r="AA517" s="165"/>
      <c r="AB517" s="165"/>
      <c r="AC517" s="165"/>
      <c r="AD517" s="165"/>
      <c r="AE517" s="165"/>
      <c r="AF517" s="165"/>
      <c r="AG517" s="165"/>
      <c r="AH517" s="165"/>
      <c r="AI517" s="165"/>
      <c r="AJ517" s="165"/>
      <c r="AK517" s="165"/>
      <c r="AL517" s="165"/>
      <c r="AM517" s="165"/>
      <c r="AN517" s="165"/>
      <c r="AO517" s="165"/>
      <c r="AP517" s="165"/>
      <c r="AQ517" s="165"/>
    </row>
    <row r="518" ht="15.75" customHeight="1">
      <c r="H518" s="440"/>
      <c r="U518" s="441"/>
      <c r="V518" s="441"/>
      <c r="W518" s="441"/>
      <c r="X518" s="441"/>
      <c r="Y518" s="442"/>
      <c r="Z518" s="165"/>
      <c r="AA518" s="165"/>
      <c r="AB518" s="165"/>
      <c r="AC518" s="165"/>
      <c r="AD518" s="165"/>
      <c r="AE518" s="165"/>
      <c r="AF518" s="165"/>
      <c r="AG518" s="165"/>
      <c r="AH518" s="165"/>
      <c r="AI518" s="165"/>
      <c r="AJ518" s="165"/>
      <c r="AK518" s="165"/>
      <c r="AL518" s="165"/>
      <c r="AM518" s="165"/>
      <c r="AN518" s="165"/>
      <c r="AO518" s="165"/>
      <c r="AP518" s="165"/>
      <c r="AQ518" s="165"/>
    </row>
    <row r="519" ht="15.75" customHeight="1">
      <c r="H519" s="440"/>
      <c r="U519" s="441"/>
      <c r="V519" s="441"/>
      <c r="W519" s="441"/>
      <c r="X519" s="441"/>
      <c r="Y519" s="442"/>
      <c r="Z519" s="165"/>
      <c r="AA519" s="165"/>
      <c r="AB519" s="165"/>
      <c r="AC519" s="165"/>
      <c r="AD519" s="165"/>
      <c r="AE519" s="165"/>
      <c r="AF519" s="165"/>
      <c r="AG519" s="165"/>
      <c r="AH519" s="165"/>
      <c r="AI519" s="165"/>
      <c r="AJ519" s="165"/>
      <c r="AK519" s="165"/>
      <c r="AL519" s="165"/>
      <c r="AM519" s="165"/>
      <c r="AN519" s="165"/>
      <c r="AO519" s="165"/>
      <c r="AP519" s="165"/>
      <c r="AQ519" s="165"/>
    </row>
    <row r="520" ht="15.75" customHeight="1">
      <c r="H520" s="440"/>
      <c r="U520" s="441"/>
      <c r="V520" s="441"/>
      <c r="W520" s="441"/>
      <c r="X520" s="441"/>
      <c r="Y520" s="442"/>
      <c r="Z520" s="165"/>
      <c r="AA520" s="165"/>
      <c r="AB520" s="165"/>
      <c r="AC520" s="165"/>
      <c r="AD520" s="165"/>
      <c r="AE520" s="165"/>
      <c r="AF520" s="165"/>
      <c r="AG520" s="165"/>
      <c r="AH520" s="165"/>
      <c r="AI520" s="165"/>
      <c r="AJ520" s="165"/>
      <c r="AK520" s="165"/>
      <c r="AL520" s="165"/>
      <c r="AM520" s="165"/>
      <c r="AN520" s="165"/>
      <c r="AO520" s="165"/>
      <c r="AP520" s="165"/>
      <c r="AQ520" s="165"/>
    </row>
    <row r="521" ht="15.75" customHeight="1">
      <c r="H521" s="440"/>
      <c r="U521" s="441"/>
      <c r="V521" s="441"/>
      <c r="W521" s="441"/>
      <c r="X521" s="441"/>
      <c r="Y521" s="442"/>
      <c r="Z521" s="165"/>
      <c r="AA521" s="165"/>
      <c r="AB521" s="165"/>
      <c r="AC521" s="165"/>
      <c r="AD521" s="165"/>
      <c r="AE521" s="165"/>
      <c r="AF521" s="165"/>
      <c r="AG521" s="165"/>
      <c r="AH521" s="165"/>
      <c r="AI521" s="165"/>
      <c r="AJ521" s="165"/>
      <c r="AK521" s="165"/>
      <c r="AL521" s="165"/>
      <c r="AM521" s="165"/>
      <c r="AN521" s="165"/>
      <c r="AO521" s="165"/>
      <c r="AP521" s="165"/>
      <c r="AQ521" s="165"/>
    </row>
    <row r="522" ht="15.75" customHeight="1">
      <c r="H522" s="440"/>
      <c r="U522" s="441"/>
      <c r="V522" s="441"/>
      <c r="W522" s="441"/>
      <c r="X522" s="441"/>
      <c r="Y522" s="442"/>
      <c r="Z522" s="165"/>
      <c r="AA522" s="165"/>
      <c r="AB522" s="165"/>
      <c r="AC522" s="165"/>
      <c r="AD522" s="165"/>
      <c r="AE522" s="165"/>
      <c r="AF522" s="165"/>
      <c r="AG522" s="165"/>
      <c r="AH522" s="165"/>
      <c r="AI522" s="165"/>
      <c r="AJ522" s="165"/>
      <c r="AK522" s="165"/>
      <c r="AL522" s="165"/>
      <c r="AM522" s="165"/>
      <c r="AN522" s="165"/>
      <c r="AO522" s="165"/>
      <c r="AP522" s="165"/>
      <c r="AQ522" s="165"/>
    </row>
    <row r="523" ht="15.75" customHeight="1">
      <c r="H523" s="440"/>
      <c r="U523" s="441"/>
      <c r="V523" s="441"/>
      <c r="W523" s="441"/>
      <c r="X523" s="441"/>
      <c r="Y523" s="442"/>
      <c r="Z523" s="165"/>
      <c r="AA523" s="165"/>
      <c r="AB523" s="165"/>
      <c r="AC523" s="165"/>
      <c r="AD523" s="165"/>
      <c r="AE523" s="165"/>
      <c r="AF523" s="165"/>
      <c r="AG523" s="165"/>
      <c r="AH523" s="165"/>
      <c r="AI523" s="165"/>
      <c r="AJ523" s="165"/>
      <c r="AK523" s="165"/>
      <c r="AL523" s="165"/>
      <c r="AM523" s="165"/>
      <c r="AN523" s="165"/>
      <c r="AO523" s="165"/>
      <c r="AP523" s="165"/>
      <c r="AQ523" s="165"/>
    </row>
    <row r="524" ht="15.75" customHeight="1">
      <c r="H524" s="440"/>
      <c r="U524" s="441"/>
      <c r="V524" s="441"/>
      <c r="W524" s="441"/>
      <c r="X524" s="441"/>
      <c r="Y524" s="442"/>
      <c r="Z524" s="165"/>
      <c r="AA524" s="165"/>
      <c r="AB524" s="165"/>
      <c r="AC524" s="165"/>
      <c r="AD524" s="165"/>
      <c r="AE524" s="165"/>
      <c r="AF524" s="165"/>
      <c r="AG524" s="165"/>
      <c r="AH524" s="165"/>
      <c r="AI524" s="165"/>
      <c r="AJ524" s="165"/>
      <c r="AK524" s="165"/>
      <c r="AL524" s="165"/>
      <c r="AM524" s="165"/>
      <c r="AN524" s="165"/>
      <c r="AO524" s="165"/>
      <c r="AP524" s="165"/>
      <c r="AQ524" s="165"/>
    </row>
    <row r="525" ht="15.75" customHeight="1">
      <c r="H525" s="440"/>
      <c r="U525" s="441"/>
      <c r="V525" s="441"/>
      <c r="W525" s="441"/>
      <c r="X525" s="441"/>
      <c r="Y525" s="442"/>
      <c r="Z525" s="165"/>
      <c r="AA525" s="165"/>
      <c r="AB525" s="165"/>
      <c r="AC525" s="165"/>
      <c r="AD525" s="165"/>
      <c r="AE525" s="165"/>
      <c r="AF525" s="165"/>
      <c r="AG525" s="165"/>
      <c r="AH525" s="165"/>
      <c r="AI525" s="165"/>
      <c r="AJ525" s="165"/>
      <c r="AK525" s="165"/>
      <c r="AL525" s="165"/>
      <c r="AM525" s="165"/>
      <c r="AN525" s="165"/>
      <c r="AO525" s="165"/>
      <c r="AP525" s="165"/>
      <c r="AQ525" s="165"/>
    </row>
    <row r="526" ht="15.75" customHeight="1">
      <c r="H526" s="440"/>
      <c r="U526" s="441"/>
      <c r="V526" s="441"/>
      <c r="W526" s="441"/>
      <c r="X526" s="441"/>
      <c r="Y526" s="442"/>
      <c r="Z526" s="165"/>
      <c r="AA526" s="165"/>
      <c r="AB526" s="165"/>
      <c r="AC526" s="165"/>
      <c r="AD526" s="165"/>
      <c r="AE526" s="165"/>
      <c r="AF526" s="165"/>
      <c r="AG526" s="165"/>
      <c r="AH526" s="165"/>
      <c r="AI526" s="165"/>
      <c r="AJ526" s="165"/>
      <c r="AK526" s="165"/>
      <c r="AL526" s="165"/>
      <c r="AM526" s="165"/>
      <c r="AN526" s="165"/>
      <c r="AO526" s="165"/>
      <c r="AP526" s="165"/>
      <c r="AQ526" s="165"/>
    </row>
    <row r="527" ht="15.75" customHeight="1">
      <c r="H527" s="440"/>
      <c r="U527" s="441"/>
      <c r="V527" s="441"/>
      <c r="W527" s="441"/>
      <c r="X527" s="441"/>
      <c r="Y527" s="442"/>
      <c r="Z527" s="165"/>
      <c r="AA527" s="165"/>
      <c r="AB527" s="165"/>
      <c r="AC527" s="165"/>
      <c r="AD527" s="165"/>
      <c r="AE527" s="165"/>
      <c r="AF527" s="165"/>
      <c r="AG527" s="165"/>
      <c r="AH527" s="165"/>
      <c r="AI527" s="165"/>
      <c r="AJ527" s="165"/>
      <c r="AK527" s="165"/>
      <c r="AL527" s="165"/>
      <c r="AM527" s="165"/>
      <c r="AN527" s="165"/>
      <c r="AO527" s="165"/>
      <c r="AP527" s="165"/>
      <c r="AQ527" s="165"/>
    </row>
    <row r="528" ht="15.75" customHeight="1">
      <c r="H528" s="440"/>
      <c r="U528" s="441"/>
      <c r="V528" s="441"/>
      <c r="W528" s="441"/>
      <c r="X528" s="441"/>
      <c r="Y528" s="442"/>
      <c r="Z528" s="165"/>
      <c r="AA528" s="165"/>
      <c r="AB528" s="165"/>
      <c r="AC528" s="165"/>
      <c r="AD528" s="165"/>
      <c r="AE528" s="165"/>
      <c r="AF528" s="165"/>
      <c r="AG528" s="165"/>
      <c r="AH528" s="165"/>
      <c r="AI528" s="165"/>
      <c r="AJ528" s="165"/>
      <c r="AK528" s="165"/>
      <c r="AL528" s="165"/>
      <c r="AM528" s="165"/>
      <c r="AN528" s="165"/>
      <c r="AO528" s="165"/>
      <c r="AP528" s="165"/>
      <c r="AQ528" s="165"/>
    </row>
    <row r="529" ht="15.75" customHeight="1">
      <c r="H529" s="440"/>
      <c r="U529" s="441"/>
      <c r="V529" s="441"/>
      <c r="W529" s="441"/>
      <c r="X529" s="441"/>
      <c r="Y529" s="442"/>
      <c r="Z529" s="165"/>
      <c r="AA529" s="165"/>
      <c r="AB529" s="165"/>
      <c r="AC529" s="165"/>
      <c r="AD529" s="165"/>
      <c r="AE529" s="165"/>
      <c r="AF529" s="165"/>
      <c r="AG529" s="165"/>
      <c r="AH529" s="165"/>
      <c r="AI529" s="165"/>
      <c r="AJ529" s="165"/>
      <c r="AK529" s="165"/>
      <c r="AL529" s="165"/>
      <c r="AM529" s="165"/>
      <c r="AN529" s="165"/>
      <c r="AO529" s="165"/>
      <c r="AP529" s="165"/>
      <c r="AQ529" s="165"/>
    </row>
    <row r="530" ht="15.75" customHeight="1">
      <c r="H530" s="440"/>
      <c r="U530" s="441"/>
      <c r="V530" s="441"/>
      <c r="W530" s="441"/>
      <c r="X530" s="441"/>
      <c r="Y530" s="442"/>
      <c r="Z530" s="165"/>
      <c r="AA530" s="165"/>
      <c r="AB530" s="165"/>
      <c r="AC530" s="165"/>
      <c r="AD530" s="165"/>
      <c r="AE530" s="165"/>
      <c r="AF530" s="165"/>
      <c r="AG530" s="165"/>
      <c r="AH530" s="165"/>
      <c r="AI530" s="165"/>
      <c r="AJ530" s="165"/>
      <c r="AK530" s="165"/>
      <c r="AL530" s="165"/>
      <c r="AM530" s="165"/>
      <c r="AN530" s="165"/>
      <c r="AO530" s="165"/>
      <c r="AP530" s="165"/>
      <c r="AQ530" s="165"/>
    </row>
    <row r="531" ht="15.75" customHeight="1">
      <c r="H531" s="440"/>
      <c r="U531" s="441"/>
      <c r="V531" s="441"/>
      <c r="W531" s="441"/>
      <c r="X531" s="441"/>
      <c r="Y531" s="442"/>
      <c r="Z531" s="165"/>
      <c r="AA531" s="165"/>
      <c r="AB531" s="165"/>
      <c r="AC531" s="165"/>
      <c r="AD531" s="165"/>
      <c r="AE531" s="165"/>
      <c r="AF531" s="165"/>
      <c r="AG531" s="165"/>
      <c r="AH531" s="165"/>
      <c r="AI531" s="165"/>
      <c r="AJ531" s="165"/>
      <c r="AK531" s="165"/>
      <c r="AL531" s="165"/>
      <c r="AM531" s="165"/>
      <c r="AN531" s="165"/>
      <c r="AO531" s="165"/>
      <c r="AP531" s="165"/>
      <c r="AQ531" s="165"/>
    </row>
    <row r="532" ht="15.75" customHeight="1">
      <c r="H532" s="440"/>
      <c r="U532" s="441"/>
      <c r="V532" s="441"/>
      <c r="W532" s="441"/>
      <c r="X532" s="441"/>
      <c r="Y532" s="442"/>
      <c r="Z532" s="165"/>
      <c r="AA532" s="165"/>
      <c r="AB532" s="165"/>
      <c r="AC532" s="165"/>
      <c r="AD532" s="165"/>
      <c r="AE532" s="165"/>
      <c r="AF532" s="165"/>
      <c r="AG532" s="165"/>
      <c r="AH532" s="165"/>
      <c r="AI532" s="165"/>
      <c r="AJ532" s="165"/>
      <c r="AK532" s="165"/>
      <c r="AL532" s="165"/>
      <c r="AM532" s="165"/>
      <c r="AN532" s="165"/>
      <c r="AO532" s="165"/>
      <c r="AP532" s="165"/>
      <c r="AQ532" s="165"/>
    </row>
    <row r="533" ht="15.75" customHeight="1">
      <c r="H533" s="440"/>
      <c r="U533" s="441"/>
      <c r="V533" s="441"/>
      <c r="W533" s="441"/>
      <c r="X533" s="441"/>
      <c r="Y533" s="442"/>
      <c r="Z533" s="165"/>
      <c r="AA533" s="165"/>
      <c r="AB533" s="165"/>
      <c r="AC533" s="165"/>
      <c r="AD533" s="165"/>
      <c r="AE533" s="165"/>
      <c r="AF533" s="165"/>
      <c r="AG533" s="165"/>
      <c r="AH533" s="165"/>
      <c r="AI533" s="165"/>
      <c r="AJ533" s="165"/>
      <c r="AK533" s="165"/>
      <c r="AL533" s="165"/>
      <c r="AM533" s="165"/>
      <c r="AN533" s="165"/>
      <c r="AO533" s="165"/>
      <c r="AP533" s="165"/>
      <c r="AQ533" s="165"/>
    </row>
    <row r="534" ht="15.75" customHeight="1">
      <c r="H534" s="440"/>
      <c r="U534" s="441"/>
      <c r="V534" s="441"/>
      <c r="W534" s="441"/>
      <c r="X534" s="441"/>
      <c r="Y534" s="442"/>
      <c r="Z534" s="165"/>
      <c r="AA534" s="165"/>
      <c r="AB534" s="165"/>
      <c r="AC534" s="165"/>
      <c r="AD534" s="165"/>
      <c r="AE534" s="165"/>
      <c r="AF534" s="165"/>
      <c r="AG534" s="165"/>
      <c r="AH534" s="165"/>
      <c r="AI534" s="165"/>
      <c r="AJ534" s="165"/>
      <c r="AK534" s="165"/>
      <c r="AL534" s="165"/>
      <c r="AM534" s="165"/>
      <c r="AN534" s="165"/>
      <c r="AO534" s="165"/>
      <c r="AP534" s="165"/>
      <c r="AQ534" s="165"/>
    </row>
    <row r="535" ht="15.75" customHeight="1">
      <c r="H535" s="440"/>
      <c r="U535" s="441"/>
      <c r="V535" s="441"/>
      <c r="W535" s="441"/>
      <c r="X535" s="441"/>
      <c r="Y535" s="442"/>
      <c r="Z535" s="165"/>
      <c r="AA535" s="165"/>
      <c r="AB535" s="165"/>
      <c r="AC535" s="165"/>
      <c r="AD535" s="165"/>
      <c r="AE535" s="165"/>
      <c r="AF535" s="165"/>
      <c r="AG535" s="165"/>
      <c r="AH535" s="165"/>
      <c r="AI535" s="165"/>
      <c r="AJ535" s="165"/>
      <c r="AK535" s="165"/>
      <c r="AL535" s="165"/>
      <c r="AM535" s="165"/>
      <c r="AN535" s="165"/>
      <c r="AO535" s="165"/>
      <c r="AP535" s="165"/>
      <c r="AQ535" s="165"/>
    </row>
    <row r="536" ht="15.75" customHeight="1">
      <c r="H536" s="440"/>
      <c r="U536" s="441"/>
      <c r="V536" s="441"/>
      <c r="W536" s="441"/>
      <c r="X536" s="441"/>
      <c r="Y536" s="442"/>
      <c r="Z536" s="165"/>
      <c r="AA536" s="165"/>
      <c r="AB536" s="165"/>
      <c r="AC536" s="165"/>
      <c r="AD536" s="165"/>
      <c r="AE536" s="165"/>
      <c r="AF536" s="165"/>
      <c r="AG536" s="165"/>
      <c r="AH536" s="165"/>
      <c r="AI536" s="165"/>
      <c r="AJ536" s="165"/>
      <c r="AK536" s="165"/>
      <c r="AL536" s="165"/>
      <c r="AM536" s="165"/>
      <c r="AN536" s="165"/>
      <c r="AO536" s="165"/>
      <c r="AP536" s="165"/>
      <c r="AQ536" s="165"/>
    </row>
    <row r="537" ht="15.75" customHeight="1">
      <c r="H537" s="440"/>
      <c r="U537" s="441"/>
      <c r="V537" s="441"/>
      <c r="W537" s="441"/>
      <c r="X537" s="441"/>
      <c r="Y537" s="442"/>
      <c r="Z537" s="165"/>
      <c r="AA537" s="165"/>
      <c r="AB537" s="165"/>
      <c r="AC537" s="165"/>
      <c r="AD537" s="165"/>
      <c r="AE537" s="165"/>
      <c r="AF537" s="165"/>
      <c r="AG537" s="165"/>
      <c r="AH537" s="165"/>
      <c r="AI537" s="165"/>
      <c r="AJ537" s="165"/>
      <c r="AK537" s="165"/>
      <c r="AL537" s="165"/>
      <c r="AM537" s="165"/>
      <c r="AN537" s="165"/>
      <c r="AO537" s="165"/>
      <c r="AP537" s="165"/>
      <c r="AQ537" s="165"/>
    </row>
    <row r="538" ht="15.75" customHeight="1">
      <c r="H538" s="440"/>
      <c r="U538" s="441"/>
      <c r="V538" s="441"/>
      <c r="W538" s="441"/>
      <c r="X538" s="441"/>
      <c r="Y538" s="442"/>
      <c r="Z538" s="165"/>
      <c r="AA538" s="165"/>
      <c r="AB538" s="165"/>
      <c r="AC538" s="165"/>
      <c r="AD538" s="165"/>
      <c r="AE538" s="165"/>
      <c r="AF538" s="165"/>
      <c r="AG538" s="165"/>
      <c r="AH538" s="165"/>
      <c r="AI538" s="165"/>
      <c r="AJ538" s="165"/>
      <c r="AK538" s="165"/>
      <c r="AL538" s="165"/>
      <c r="AM538" s="165"/>
      <c r="AN538" s="165"/>
      <c r="AO538" s="165"/>
      <c r="AP538" s="165"/>
      <c r="AQ538" s="165"/>
    </row>
    <row r="539" ht="15.75" customHeight="1">
      <c r="H539" s="440"/>
      <c r="U539" s="441"/>
      <c r="V539" s="441"/>
      <c r="W539" s="441"/>
      <c r="X539" s="441"/>
      <c r="Y539" s="442"/>
      <c r="Z539" s="165"/>
      <c r="AA539" s="165"/>
      <c r="AB539" s="165"/>
      <c r="AC539" s="165"/>
      <c r="AD539" s="165"/>
      <c r="AE539" s="165"/>
      <c r="AF539" s="165"/>
      <c r="AG539" s="165"/>
      <c r="AH539" s="165"/>
      <c r="AI539" s="165"/>
      <c r="AJ539" s="165"/>
      <c r="AK539" s="165"/>
      <c r="AL539" s="165"/>
      <c r="AM539" s="165"/>
      <c r="AN539" s="165"/>
      <c r="AO539" s="165"/>
      <c r="AP539" s="165"/>
      <c r="AQ539" s="165"/>
    </row>
    <row r="540" ht="15.75" customHeight="1">
      <c r="H540" s="440"/>
      <c r="U540" s="441"/>
      <c r="V540" s="441"/>
      <c r="W540" s="441"/>
      <c r="X540" s="441"/>
      <c r="Y540" s="442"/>
      <c r="Z540" s="165"/>
      <c r="AA540" s="165"/>
      <c r="AB540" s="165"/>
      <c r="AC540" s="165"/>
      <c r="AD540" s="165"/>
      <c r="AE540" s="165"/>
      <c r="AF540" s="165"/>
      <c r="AG540" s="165"/>
      <c r="AH540" s="165"/>
      <c r="AI540" s="165"/>
      <c r="AJ540" s="165"/>
      <c r="AK540" s="165"/>
      <c r="AL540" s="165"/>
      <c r="AM540" s="165"/>
      <c r="AN540" s="165"/>
      <c r="AO540" s="165"/>
      <c r="AP540" s="165"/>
      <c r="AQ540" s="165"/>
    </row>
    <row r="541" ht="15.75" customHeight="1">
      <c r="H541" s="440"/>
      <c r="U541" s="441"/>
      <c r="V541" s="441"/>
      <c r="W541" s="441"/>
      <c r="X541" s="441"/>
      <c r="Y541" s="442"/>
      <c r="Z541" s="165"/>
      <c r="AA541" s="165"/>
      <c r="AB541" s="165"/>
      <c r="AC541" s="165"/>
      <c r="AD541" s="165"/>
      <c r="AE541" s="165"/>
      <c r="AF541" s="165"/>
      <c r="AG541" s="165"/>
      <c r="AH541" s="165"/>
      <c r="AI541" s="165"/>
      <c r="AJ541" s="165"/>
      <c r="AK541" s="165"/>
      <c r="AL541" s="165"/>
      <c r="AM541" s="165"/>
      <c r="AN541" s="165"/>
      <c r="AO541" s="165"/>
      <c r="AP541" s="165"/>
      <c r="AQ541" s="165"/>
    </row>
    <row r="542" ht="15.75" customHeight="1">
      <c r="H542" s="440"/>
      <c r="U542" s="441"/>
      <c r="V542" s="441"/>
      <c r="W542" s="441"/>
      <c r="X542" s="441"/>
      <c r="Y542" s="442"/>
      <c r="Z542" s="165"/>
      <c r="AA542" s="165"/>
      <c r="AB542" s="165"/>
      <c r="AC542" s="165"/>
      <c r="AD542" s="165"/>
      <c r="AE542" s="165"/>
      <c r="AF542" s="165"/>
      <c r="AG542" s="165"/>
      <c r="AH542" s="165"/>
      <c r="AI542" s="165"/>
      <c r="AJ542" s="165"/>
      <c r="AK542" s="165"/>
      <c r="AL542" s="165"/>
      <c r="AM542" s="165"/>
      <c r="AN542" s="165"/>
      <c r="AO542" s="165"/>
      <c r="AP542" s="165"/>
      <c r="AQ542" s="165"/>
    </row>
    <row r="543" ht="15.75" customHeight="1">
      <c r="H543" s="440"/>
      <c r="U543" s="441"/>
      <c r="V543" s="441"/>
      <c r="W543" s="441"/>
      <c r="X543" s="441"/>
      <c r="Y543" s="442"/>
      <c r="Z543" s="165"/>
      <c r="AA543" s="165"/>
      <c r="AB543" s="165"/>
      <c r="AC543" s="165"/>
      <c r="AD543" s="165"/>
      <c r="AE543" s="165"/>
      <c r="AF543" s="165"/>
      <c r="AG543" s="165"/>
      <c r="AH543" s="165"/>
      <c r="AI543" s="165"/>
      <c r="AJ543" s="165"/>
      <c r="AK543" s="165"/>
      <c r="AL543" s="165"/>
      <c r="AM543" s="165"/>
      <c r="AN543" s="165"/>
      <c r="AO543" s="165"/>
      <c r="AP543" s="165"/>
      <c r="AQ543" s="165"/>
    </row>
    <row r="544" ht="15.75" customHeight="1">
      <c r="H544" s="440"/>
      <c r="U544" s="441"/>
      <c r="V544" s="441"/>
      <c r="W544" s="441"/>
      <c r="X544" s="441"/>
      <c r="Y544" s="442"/>
      <c r="Z544" s="165"/>
      <c r="AA544" s="165"/>
      <c r="AB544" s="165"/>
      <c r="AC544" s="165"/>
      <c r="AD544" s="165"/>
      <c r="AE544" s="165"/>
      <c r="AF544" s="165"/>
      <c r="AG544" s="165"/>
      <c r="AH544" s="165"/>
      <c r="AI544" s="165"/>
      <c r="AJ544" s="165"/>
      <c r="AK544" s="165"/>
      <c r="AL544" s="165"/>
      <c r="AM544" s="165"/>
      <c r="AN544" s="165"/>
      <c r="AO544" s="165"/>
      <c r="AP544" s="165"/>
      <c r="AQ544" s="165"/>
    </row>
    <row r="545" ht="15.75" customHeight="1">
      <c r="H545" s="440"/>
      <c r="U545" s="441"/>
      <c r="V545" s="441"/>
      <c r="W545" s="441"/>
      <c r="X545" s="441"/>
      <c r="Y545" s="442"/>
      <c r="Z545" s="165"/>
      <c r="AA545" s="165"/>
      <c r="AB545" s="165"/>
      <c r="AC545" s="165"/>
      <c r="AD545" s="165"/>
      <c r="AE545" s="165"/>
      <c r="AF545" s="165"/>
      <c r="AG545" s="165"/>
      <c r="AH545" s="165"/>
      <c r="AI545" s="165"/>
      <c r="AJ545" s="165"/>
      <c r="AK545" s="165"/>
      <c r="AL545" s="165"/>
      <c r="AM545" s="165"/>
      <c r="AN545" s="165"/>
      <c r="AO545" s="165"/>
      <c r="AP545" s="165"/>
      <c r="AQ545" s="165"/>
    </row>
    <row r="546" ht="15.75" customHeight="1">
      <c r="H546" s="440"/>
      <c r="U546" s="441"/>
      <c r="V546" s="441"/>
      <c r="W546" s="441"/>
      <c r="X546" s="441"/>
      <c r="Y546" s="442"/>
      <c r="Z546" s="165"/>
      <c r="AA546" s="165"/>
      <c r="AB546" s="165"/>
      <c r="AC546" s="165"/>
      <c r="AD546" s="165"/>
      <c r="AE546" s="165"/>
      <c r="AF546" s="165"/>
      <c r="AG546" s="165"/>
      <c r="AH546" s="165"/>
      <c r="AI546" s="165"/>
      <c r="AJ546" s="165"/>
      <c r="AK546" s="165"/>
      <c r="AL546" s="165"/>
      <c r="AM546" s="165"/>
      <c r="AN546" s="165"/>
      <c r="AO546" s="165"/>
      <c r="AP546" s="165"/>
      <c r="AQ546" s="165"/>
    </row>
    <row r="547" ht="15.75" customHeight="1">
      <c r="H547" s="440"/>
      <c r="U547" s="441"/>
      <c r="V547" s="441"/>
      <c r="W547" s="441"/>
      <c r="X547" s="441"/>
      <c r="Y547" s="442"/>
      <c r="Z547" s="165"/>
      <c r="AA547" s="165"/>
      <c r="AB547" s="165"/>
      <c r="AC547" s="165"/>
      <c r="AD547" s="165"/>
      <c r="AE547" s="165"/>
      <c r="AF547" s="165"/>
      <c r="AG547" s="165"/>
      <c r="AH547" s="165"/>
      <c r="AI547" s="165"/>
      <c r="AJ547" s="165"/>
      <c r="AK547" s="165"/>
      <c r="AL547" s="165"/>
      <c r="AM547" s="165"/>
      <c r="AN547" s="165"/>
      <c r="AO547" s="165"/>
      <c r="AP547" s="165"/>
      <c r="AQ547" s="165"/>
    </row>
    <row r="548" ht="15.75" customHeight="1">
      <c r="H548" s="440"/>
      <c r="U548" s="441"/>
      <c r="V548" s="441"/>
      <c r="W548" s="441"/>
      <c r="X548" s="441"/>
      <c r="Y548" s="442"/>
      <c r="Z548" s="165"/>
      <c r="AA548" s="165"/>
      <c r="AB548" s="165"/>
      <c r="AC548" s="165"/>
      <c r="AD548" s="165"/>
      <c r="AE548" s="165"/>
      <c r="AF548" s="165"/>
      <c r="AG548" s="165"/>
      <c r="AH548" s="165"/>
      <c r="AI548" s="165"/>
      <c r="AJ548" s="165"/>
      <c r="AK548" s="165"/>
      <c r="AL548" s="165"/>
      <c r="AM548" s="165"/>
      <c r="AN548" s="165"/>
      <c r="AO548" s="165"/>
      <c r="AP548" s="165"/>
      <c r="AQ548" s="165"/>
    </row>
    <row r="549" ht="15.75" customHeight="1">
      <c r="H549" s="440"/>
      <c r="U549" s="441"/>
      <c r="V549" s="441"/>
      <c r="W549" s="441"/>
      <c r="X549" s="441"/>
      <c r="Y549" s="442"/>
      <c r="Z549" s="165"/>
      <c r="AA549" s="165"/>
      <c r="AB549" s="165"/>
      <c r="AC549" s="165"/>
      <c r="AD549" s="165"/>
      <c r="AE549" s="165"/>
      <c r="AF549" s="165"/>
      <c r="AG549" s="165"/>
      <c r="AH549" s="165"/>
      <c r="AI549" s="165"/>
      <c r="AJ549" s="165"/>
      <c r="AK549" s="165"/>
      <c r="AL549" s="165"/>
      <c r="AM549" s="165"/>
      <c r="AN549" s="165"/>
      <c r="AO549" s="165"/>
      <c r="AP549" s="165"/>
      <c r="AQ549" s="165"/>
    </row>
    <row r="550" ht="15.75" customHeight="1">
      <c r="H550" s="440"/>
      <c r="U550" s="441"/>
      <c r="V550" s="441"/>
      <c r="W550" s="441"/>
      <c r="X550" s="441"/>
      <c r="Y550" s="442"/>
      <c r="Z550" s="165"/>
      <c r="AA550" s="165"/>
      <c r="AB550" s="165"/>
      <c r="AC550" s="165"/>
      <c r="AD550" s="165"/>
      <c r="AE550" s="165"/>
      <c r="AF550" s="165"/>
      <c r="AG550" s="165"/>
      <c r="AH550" s="165"/>
      <c r="AI550" s="165"/>
      <c r="AJ550" s="165"/>
      <c r="AK550" s="165"/>
      <c r="AL550" s="165"/>
      <c r="AM550" s="165"/>
      <c r="AN550" s="165"/>
      <c r="AO550" s="165"/>
      <c r="AP550" s="165"/>
      <c r="AQ550" s="165"/>
    </row>
    <row r="551" ht="15.75" customHeight="1">
      <c r="H551" s="440"/>
      <c r="U551" s="441"/>
      <c r="V551" s="441"/>
      <c r="W551" s="441"/>
      <c r="X551" s="441"/>
      <c r="Y551" s="442"/>
      <c r="Z551" s="165"/>
      <c r="AA551" s="165"/>
      <c r="AB551" s="165"/>
      <c r="AC551" s="165"/>
      <c r="AD551" s="165"/>
      <c r="AE551" s="165"/>
      <c r="AF551" s="165"/>
      <c r="AG551" s="165"/>
      <c r="AH551" s="165"/>
      <c r="AI551" s="165"/>
      <c r="AJ551" s="165"/>
      <c r="AK551" s="165"/>
      <c r="AL551" s="165"/>
      <c r="AM551" s="165"/>
      <c r="AN551" s="165"/>
      <c r="AO551" s="165"/>
      <c r="AP551" s="165"/>
      <c r="AQ551" s="165"/>
    </row>
    <row r="552" ht="15.75" customHeight="1">
      <c r="H552" s="440"/>
      <c r="U552" s="441"/>
      <c r="V552" s="441"/>
      <c r="W552" s="441"/>
      <c r="X552" s="441"/>
      <c r="Y552" s="442"/>
      <c r="Z552" s="165"/>
      <c r="AA552" s="165"/>
      <c r="AB552" s="165"/>
      <c r="AC552" s="165"/>
      <c r="AD552" s="165"/>
      <c r="AE552" s="165"/>
      <c r="AF552" s="165"/>
      <c r="AG552" s="165"/>
      <c r="AH552" s="165"/>
      <c r="AI552" s="165"/>
      <c r="AJ552" s="165"/>
      <c r="AK552" s="165"/>
      <c r="AL552" s="165"/>
      <c r="AM552" s="165"/>
      <c r="AN552" s="165"/>
      <c r="AO552" s="165"/>
      <c r="AP552" s="165"/>
      <c r="AQ552" s="165"/>
    </row>
    <row r="553" ht="15.75" customHeight="1">
      <c r="H553" s="440"/>
      <c r="U553" s="441"/>
      <c r="V553" s="441"/>
      <c r="W553" s="441"/>
      <c r="X553" s="441"/>
      <c r="Y553" s="442"/>
      <c r="Z553" s="165"/>
      <c r="AA553" s="165"/>
      <c r="AB553" s="165"/>
      <c r="AC553" s="165"/>
      <c r="AD553" s="165"/>
      <c r="AE553" s="165"/>
      <c r="AF553" s="165"/>
      <c r="AG553" s="165"/>
      <c r="AH553" s="165"/>
      <c r="AI553" s="165"/>
      <c r="AJ553" s="165"/>
      <c r="AK553" s="165"/>
      <c r="AL553" s="165"/>
      <c r="AM553" s="165"/>
      <c r="AN553" s="165"/>
      <c r="AO553" s="165"/>
      <c r="AP553" s="165"/>
      <c r="AQ553" s="165"/>
    </row>
    <row r="554" ht="15.75" customHeight="1">
      <c r="H554" s="440"/>
      <c r="U554" s="441"/>
      <c r="V554" s="441"/>
      <c r="W554" s="441"/>
      <c r="X554" s="441"/>
      <c r="Y554" s="442"/>
      <c r="Z554" s="165"/>
      <c r="AA554" s="165"/>
      <c r="AB554" s="165"/>
      <c r="AC554" s="165"/>
      <c r="AD554" s="165"/>
      <c r="AE554" s="165"/>
      <c r="AF554" s="165"/>
      <c r="AG554" s="165"/>
      <c r="AH554" s="165"/>
      <c r="AI554" s="165"/>
      <c r="AJ554" s="165"/>
      <c r="AK554" s="165"/>
      <c r="AL554" s="165"/>
      <c r="AM554" s="165"/>
      <c r="AN554" s="165"/>
      <c r="AO554" s="165"/>
      <c r="AP554" s="165"/>
      <c r="AQ554" s="165"/>
    </row>
    <row r="555" ht="15.75" customHeight="1">
      <c r="H555" s="440"/>
      <c r="U555" s="441"/>
      <c r="V555" s="441"/>
      <c r="W555" s="441"/>
      <c r="X555" s="441"/>
      <c r="Y555" s="442"/>
      <c r="Z555" s="165"/>
      <c r="AA555" s="165"/>
      <c r="AB555" s="165"/>
      <c r="AC555" s="165"/>
      <c r="AD555" s="165"/>
      <c r="AE555" s="165"/>
      <c r="AF555" s="165"/>
      <c r="AG555" s="165"/>
      <c r="AH555" s="165"/>
      <c r="AI555" s="165"/>
      <c r="AJ555" s="165"/>
      <c r="AK555" s="165"/>
      <c r="AL555" s="165"/>
      <c r="AM555" s="165"/>
      <c r="AN555" s="165"/>
      <c r="AO555" s="165"/>
      <c r="AP555" s="165"/>
      <c r="AQ555" s="165"/>
    </row>
    <row r="556" ht="15.75" customHeight="1">
      <c r="H556" s="440"/>
      <c r="U556" s="441"/>
      <c r="V556" s="441"/>
      <c r="W556" s="441"/>
      <c r="X556" s="441"/>
      <c r="Y556" s="442"/>
      <c r="Z556" s="165"/>
      <c r="AA556" s="165"/>
      <c r="AB556" s="165"/>
      <c r="AC556" s="165"/>
      <c r="AD556" s="165"/>
      <c r="AE556" s="165"/>
      <c r="AF556" s="165"/>
      <c r="AG556" s="165"/>
      <c r="AH556" s="165"/>
      <c r="AI556" s="165"/>
      <c r="AJ556" s="165"/>
      <c r="AK556" s="165"/>
      <c r="AL556" s="165"/>
      <c r="AM556" s="165"/>
      <c r="AN556" s="165"/>
      <c r="AO556" s="165"/>
      <c r="AP556" s="165"/>
      <c r="AQ556" s="165"/>
    </row>
    <row r="557" ht="15.75" customHeight="1">
      <c r="H557" s="440"/>
      <c r="U557" s="441"/>
      <c r="V557" s="441"/>
      <c r="W557" s="441"/>
      <c r="X557" s="441"/>
      <c r="Y557" s="442"/>
      <c r="Z557" s="165"/>
      <c r="AA557" s="165"/>
      <c r="AB557" s="165"/>
      <c r="AC557" s="165"/>
      <c r="AD557" s="165"/>
      <c r="AE557" s="165"/>
      <c r="AF557" s="165"/>
      <c r="AG557" s="165"/>
      <c r="AH557" s="165"/>
      <c r="AI557" s="165"/>
      <c r="AJ557" s="165"/>
      <c r="AK557" s="165"/>
      <c r="AL557" s="165"/>
      <c r="AM557" s="165"/>
      <c r="AN557" s="165"/>
      <c r="AO557" s="165"/>
      <c r="AP557" s="165"/>
      <c r="AQ557" s="165"/>
    </row>
    <row r="558" ht="15.75" customHeight="1">
      <c r="H558" s="440"/>
      <c r="U558" s="441"/>
      <c r="V558" s="441"/>
      <c r="W558" s="441"/>
      <c r="X558" s="441"/>
      <c r="Y558" s="442"/>
      <c r="Z558" s="165"/>
      <c r="AA558" s="165"/>
      <c r="AB558" s="165"/>
      <c r="AC558" s="165"/>
      <c r="AD558" s="165"/>
      <c r="AE558" s="165"/>
      <c r="AF558" s="165"/>
      <c r="AG558" s="165"/>
      <c r="AH558" s="165"/>
      <c r="AI558" s="165"/>
      <c r="AJ558" s="165"/>
      <c r="AK558" s="165"/>
      <c r="AL558" s="165"/>
      <c r="AM558" s="165"/>
      <c r="AN558" s="165"/>
      <c r="AO558" s="165"/>
      <c r="AP558" s="165"/>
      <c r="AQ558" s="165"/>
    </row>
    <row r="559" ht="15.75" customHeight="1">
      <c r="H559" s="440"/>
      <c r="U559" s="441"/>
      <c r="V559" s="441"/>
      <c r="W559" s="441"/>
      <c r="X559" s="441"/>
      <c r="Y559" s="442"/>
      <c r="Z559" s="165"/>
      <c r="AA559" s="165"/>
      <c r="AB559" s="165"/>
      <c r="AC559" s="165"/>
      <c r="AD559" s="165"/>
      <c r="AE559" s="165"/>
      <c r="AF559" s="165"/>
      <c r="AG559" s="165"/>
      <c r="AH559" s="165"/>
      <c r="AI559" s="165"/>
      <c r="AJ559" s="165"/>
      <c r="AK559" s="165"/>
      <c r="AL559" s="165"/>
      <c r="AM559" s="165"/>
      <c r="AN559" s="165"/>
      <c r="AO559" s="165"/>
      <c r="AP559" s="165"/>
      <c r="AQ559" s="165"/>
    </row>
    <row r="560" ht="15.75" customHeight="1">
      <c r="H560" s="440"/>
      <c r="U560" s="441"/>
      <c r="V560" s="441"/>
      <c r="W560" s="441"/>
      <c r="X560" s="441"/>
      <c r="Y560" s="442"/>
      <c r="Z560" s="165"/>
      <c r="AA560" s="165"/>
      <c r="AB560" s="165"/>
      <c r="AC560" s="165"/>
      <c r="AD560" s="165"/>
      <c r="AE560" s="165"/>
      <c r="AF560" s="165"/>
      <c r="AG560" s="165"/>
      <c r="AH560" s="165"/>
      <c r="AI560" s="165"/>
      <c r="AJ560" s="165"/>
      <c r="AK560" s="165"/>
      <c r="AL560" s="165"/>
      <c r="AM560" s="165"/>
      <c r="AN560" s="165"/>
      <c r="AO560" s="165"/>
      <c r="AP560" s="165"/>
      <c r="AQ560" s="165"/>
    </row>
    <row r="561" ht="15.75" customHeight="1">
      <c r="H561" s="440"/>
      <c r="U561" s="441"/>
      <c r="V561" s="441"/>
      <c r="W561" s="441"/>
      <c r="X561" s="441"/>
      <c r="Y561" s="442"/>
      <c r="Z561" s="165"/>
      <c r="AA561" s="165"/>
      <c r="AB561" s="165"/>
      <c r="AC561" s="165"/>
      <c r="AD561" s="165"/>
      <c r="AE561" s="165"/>
      <c r="AF561" s="165"/>
      <c r="AG561" s="165"/>
      <c r="AH561" s="165"/>
      <c r="AI561" s="165"/>
      <c r="AJ561" s="165"/>
      <c r="AK561" s="165"/>
      <c r="AL561" s="165"/>
      <c r="AM561" s="165"/>
      <c r="AN561" s="165"/>
      <c r="AO561" s="165"/>
      <c r="AP561" s="165"/>
      <c r="AQ561" s="165"/>
    </row>
    <row r="562" ht="15.75" customHeight="1">
      <c r="H562" s="440"/>
      <c r="U562" s="441"/>
      <c r="V562" s="441"/>
      <c r="W562" s="441"/>
      <c r="X562" s="441"/>
      <c r="Y562" s="442"/>
      <c r="Z562" s="165"/>
      <c r="AA562" s="165"/>
      <c r="AB562" s="165"/>
      <c r="AC562" s="165"/>
      <c r="AD562" s="165"/>
      <c r="AE562" s="165"/>
      <c r="AF562" s="165"/>
      <c r="AG562" s="165"/>
      <c r="AH562" s="165"/>
      <c r="AI562" s="165"/>
      <c r="AJ562" s="165"/>
      <c r="AK562" s="165"/>
      <c r="AL562" s="165"/>
      <c r="AM562" s="165"/>
      <c r="AN562" s="165"/>
      <c r="AO562" s="165"/>
      <c r="AP562" s="165"/>
      <c r="AQ562" s="165"/>
    </row>
    <row r="563" ht="15.75" customHeight="1">
      <c r="H563" s="440"/>
      <c r="U563" s="441"/>
      <c r="V563" s="441"/>
      <c r="W563" s="441"/>
      <c r="X563" s="441"/>
      <c r="Y563" s="442"/>
      <c r="Z563" s="165"/>
      <c r="AA563" s="165"/>
      <c r="AB563" s="165"/>
      <c r="AC563" s="165"/>
      <c r="AD563" s="165"/>
      <c r="AE563" s="165"/>
      <c r="AF563" s="165"/>
      <c r="AG563" s="165"/>
      <c r="AH563" s="165"/>
      <c r="AI563" s="165"/>
      <c r="AJ563" s="165"/>
      <c r="AK563" s="165"/>
      <c r="AL563" s="165"/>
      <c r="AM563" s="165"/>
      <c r="AN563" s="165"/>
      <c r="AO563" s="165"/>
      <c r="AP563" s="165"/>
      <c r="AQ563" s="165"/>
    </row>
    <row r="564" ht="15.75" customHeight="1">
      <c r="H564" s="440"/>
      <c r="U564" s="441"/>
      <c r="V564" s="441"/>
      <c r="W564" s="441"/>
      <c r="X564" s="441"/>
      <c r="Y564" s="442"/>
      <c r="Z564" s="165"/>
      <c r="AA564" s="165"/>
      <c r="AB564" s="165"/>
      <c r="AC564" s="165"/>
      <c r="AD564" s="165"/>
      <c r="AE564" s="165"/>
      <c r="AF564" s="165"/>
      <c r="AG564" s="165"/>
      <c r="AH564" s="165"/>
      <c r="AI564" s="165"/>
      <c r="AJ564" s="165"/>
      <c r="AK564" s="165"/>
      <c r="AL564" s="165"/>
      <c r="AM564" s="165"/>
      <c r="AN564" s="165"/>
      <c r="AO564" s="165"/>
      <c r="AP564" s="165"/>
      <c r="AQ564" s="165"/>
    </row>
    <row r="565" ht="15.75" customHeight="1">
      <c r="H565" s="440"/>
      <c r="U565" s="441"/>
      <c r="V565" s="441"/>
      <c r="W565" s="441"/>
      <c r="X565" s="441"/>
      <c r="Y565" s="442"/>
      <c r="Z565" s="165"/>
      <c r="AA565" s="165"/>
      <c r="AB565" s="165"/>
      <c r="AC565" s="165"/>
      <c r="AD565" s="165"/>
      <c r="AE565" s="165"/>
      <c r="AF565" s="165"/>
      <c r="AG565" s="165"/>
      <c r="AH565" s="165"/>
      <c r="AI565" s="165"/>
      <c r="AJ565" s="165"/>
      <c r="AK565" s="165"/>
      <c r="AL565" s="165"/>
      <c r="AM565" s="165"/>
      <c r="AN565" s="165"/>
      <c r="AO565" s="165"/>
      <c r="AP565" s="165"/>
      <c r="AQ565" s="165"/>
    </row>
    <row r="566" ht="15.75" customHeight="1">
      <c r="H566" s="440"/>
      <c r="U566" s="441"/>
      <c r="V566" s="441"/>
      <c r="W566" s="441"/>
      <c r="X566" s="441"/>
      <c r="Y566" s="442"/>
      <c r="Z566" s="165"/>
      <c r="AA566" s="165"/>
      <c r="AB566" s="165"/>
      <c r="AC566" s="165"/>
      <c r="AD566" s="165"/>
      <c r="AE566" s="165"/>
      <c r="AF566" s="165"/>
      <c r="AG566" s="165"/>
      <c r="AH566" s="165"/>
      <c r="AI566" s="165"/>
      <c r="AJ566" s="165"/>
      <c r="AK566" s="165"/>
      <c r="AL566" s="165"/>
      <c r="AM566" s="165"/>
      <c r="AN566" s="165"/>
      <c r="AO566" s="165"/>
      <c r="AP566" s="165"/>
      <c r="AQ566" s="165"/>
    </row>
    <row r="567" ht="15.75" customHeight="1">
      <c r="H567" s="440"/>
      <c r="U567" s="441"/>
      <c r="V567" s="441"/>
      <c r="W567" s="441"/>
      <c r="X567" s="441"/>
      <c r="Y567" s="442"/>
      <c r="Z567" s="165"/>
      <c r="AA567" s="165"/>
      <c r="AB567" s="165"/>
      <c r="AC567" s="165"/>
      <c r="AD567" s="165"/>
      <c r="AE567" s="165"/>
      <c r="AF567" s="165"/>
      <c r="AG567" s="165"/>
      <c r="AH567" s="165"/>
      <c r="AI567" s="165"/>
      <c r="AJ567" s="165"/>
      <c r="AK567" s="165"/>
      <c r="AL567" s="165"/>
      <c r="AM567" s="165"/>
      <c r="AN567" s="165"/>
      <c r="AO567" s="165"/>
      <c r="AP567" s="165"/>
      <c r="AQ567" s="165"/>
    </row>
    <row r="568" ht="15.75" customHeight="1">
      <c r="H568" s="440"/>
      <c r="U568" s="441"/>
      <c r="V568" s="441"/>
      <c r="W568" s="441"/>
      <c r="X568" s="441"/>
      <c r="Y568" s="442"/>
      <c r="Z568" s="165"/>
      <c r="AA568" s="165"/>
      <c r="AB568" s="165"/>
      <c r="AC568" s="165"/>
      <c r="AD568" s="165"/>
      <c r="AE568" s="165"/>
      <c r="AF568" s="165"/>
      <c r="AG568" s="165"/>
      <c r="AH568" s="165"/>
      <c r="AI568" s="165"/>
      <c r="AJ568" s="165"/>
      <c r="AK568" s="165"/>
      <c r="AL568" s="165"/>
      <c r="AM568" s="165"/>
      <c r="AN568" s="165"/>
      <c r="AO568" s="165"/>
      <c r="AP568" s="165"/>
      <c r="AQ568" s="165"/>
    </row>
    <row r="569" ht="15.75" customHeight="1">
      <c r="H569" s="440"/>
      <c r="U569" s="441"/>
      <c r="V569" s="441"/>
      <c r="W569" s="441"/>
      <c r="X569" s="441"/>
      <c r="Y569" s="442"/>
      <c r="Z569" s="165"/>
      <c r="AA569" s="165"/>
      <c r="AB569" s="165"/>
      <c r="AC569" s="165"/>
      <c r="AD569" s="165"/>
      <c r="AE569" s="165"/>
      <c r="AF569" s="165"/>
      <c r="AG569" s="165"/>
      <c r="AH569" s="165"/>
      <c r="AI569" s="165"/>
      <c r="AJ569" s="165"/>
      <c r="AK569" s="165"/>
      <c r="AL569" s="165"/>
      <c r="AM569" s="165"/>
      <c r="AN569" s="165"/>
      <c r="AO569" s="165"/>
      <c r="AP569" s="165"/>
      <c r="AQ569" s="165"/>
    </row>
    <row r="570" ht="15.75" customHeight="1">
      <c r="H570" s="440"/>
      <c r="U570" s="441"/>
      <c r="V570" s="441"/>
      <c r="W570" s="441"/>
      <c r="X570" s="441"/>
      <c r="Y570" s="442"/>
      <c r="Z570" s="165"/>
      <c r="AA570" s="165"/>
      <c r="AB570" s="165"/>
      <c r="AC570" s="165"/>
      <c r="AD570" s="165"/>
      <c r="AE570" s="165"/>
      <c r="AF570" s="165"/>
      <c r="AG570" s="165"/>
      <c r="AH570" s="165"/>
      <c r="AI570" s="165"/>
      <c r="AJ570" s="165"/>
      <c r="AK570" s="165"/>
      <c r="AL570" s="165"/>
      <c r="AM570" s="165"/>
      <c r="AN570" s="165"/>
      <c r="AO570" s="165"/>
      <c r="AP570" s="165"/>
      <c r="AQ570" s="165"/>
    </row>
    <row r="571" ht="15.75" customHeight="1">
      <c r="H571" s="440"/>
      <c r="U571" s="441"/>
      <c r="V571" s="441"/>
      <c r="W571" s="441"/>
      <c r="X571" s="441"/>
      <c r="Y571" s="442"/>
      <c r="Z571" s="165"/>
      <c r="AA571" s="165"/>
      <c r="AB571" s="165"/>
      <c r="AC571" s="165"/>
      <c r="AD571" s="165"/>
      <c r="AE571" s="165"/>
      <c r="AF571" s="165"/>
      <c r="AG571" s="165"/>
      <c r="AH571" s="165"/>
      <c r="AI571" s="165"/>
      <c r="AJ571" s="165"/>
      <c r="AK571" s="165"/>
      <c r="AL571" s="165"/>
      <c r="AM571" s="165"/>
      <c r="AN571" s="165"/>
      <c r="AO571" s="165"/>
      <c r="AP571" s="165"/>
      <c r="AQ571" s="165"/>
    </row>
    <row r="572" ht="15.75" customHeight="1">
      <c r="H572" s="440"/>
      <c r="U572" s="441"/>
      <c r="V572" s="441"/>
      <c r="W572" s="441"/>
      <c r="X572" s="441"/>
      <c r="Y572" s="442"/>
      <c r="Z572" s="165"/>
      <c r="AA572" s="165"/>
      <c r="AB572" s="165"/>
      <c r="AC572" s="165"/>
      <c r="AD572" s="165"/>
      <c r="AE572" s="165"/>
      <c r="AF572" s="165"/>
      <c r="AG572" s="165"/>
      <c r="AH572" s="165"/>
      <c r="AI572" s="165"/>
      <c r="AJ572" s="165"/>
      <c r="AK572" s="165"/>
      <c r="AL572" s="165"/>
      <c r="AM572" s="165"/>
      <c r="AN572" s="165"/>
      <c r="AO572" s="165"/>
      <c r="AP572" s="165"/>
      <c r="AQ572" s="165"/>
    </row>
    <row r="573" ht="15.75" customHeight="1">
      <c r="H573" s="440"/>
      <c r="U573" s="441"/>
      <c r="V573" s="441"/>
      <c r="W573" s="441"/>
      <c r="X573" s="441"/>
      <c r="Y573" s="442"/>
      <c r="Z573" s="165"/>
      <c r="AA573" s="165"/>
      <c r="AB573" s="165"/>
      <c r="AC573" s="165"/>
      <c r="AD573" s="165"/>
      <c r="AE573" s="165"/>
      <c r="AF573" s="165"/>
      <c r="AG573" s="165"/>
      <c r="AH573" s="165"/>
      <c r="AI573" s="165"/>
      <c r="AJ573" s="165"/>
      <c r="AK573" s="165"/>
      <c r="AL573" s="165"/>
      <c r="AM573" s="165"/>
      <c r="AN573" s="165"/>
      <c r="AO573" s="165"/>
      <c r="AP573" s="165"/>
      <c r="AQ573" s="165"/>
    </row>
    <row r="574" ht="15.75" customHeight="1">
      <c r="H574" s="440"/>
      <c r="U574" s="441"/>
      <c r="V574" s="441"/>
      <c r="W574" s="441"/>
      <c r="X574" s="441"/>
      <c r="Y574" s="442"/>
      <c r="Z574" s="165"/>
      <c r="AA574" s="165"/>
      <c r="AB574" s="165"/>
      <c r="AC574" s="165"/>
      <c r="AD574" s="165"/>
      <c r="AE574" s="165"/>
      <c r="AF574" s="165"/>
      <c r="AG574" s="165"/>
      <c r="AH574" s="165"/>
      <c r="AI574" s="165"/>
      <c r="AJ574" s="165"/>
      <c r="AK574" s="165"/>
      <c r="AL574" s="165"/>
      <c r="AM574" s="165"/>
      <c r="AN574" s="165"/>
      <c r="AO574" s="165"/>
      <c r="AP574" s="165"/>
      <c r="AQ574" s="165"/>
    </row>
    <row r="575" ht="15.75" customHeight="1">
      <c r="H575" s="440"/>
      <c r="U575" s="441"/>
      <c r="V575" s="441"/>
      <c r="W575" s="441"/>
      <c r="X575" s="441"/>
      <c r="Y575" s="442"/>
      <c r="Z575" s="165"/>
      <c r="AA575" s="165"/>
      <c r="AB575" s="165"/>
      <c r="AC575" s="165"/>
      <c r="AD575" s="165"/>
      <c r="AE575" s="165"/>
      <c r="AF575" s="165"/>
      <c r="AG575" s="165"/>
      <c r="AH575" s="165"/>
      <c r="AI575" s="165"/>
      <c r="AJ575" s="165"/>
      <c r="AK575" s="165"/>
      <c r="AL575" s="165"/>
      <c r="AM575" s="165"/>
      <c r="AN575" s="165"/>
      <c r="AO575" s="165"/>
      <c r="AP575" s="165"/>
      <c r="AQ575" s="165"/>
    </row>
    <row r="576" ht="15.75" customHeight="1">
      <c r="H576" s="440"/>
      <c r="U576" s="441"/>
      <c r="V576" s="441"/>
      <c r="W576" s="441"/>
      <c r="X576" s="441"/>
      <c r="Y576" s="442"/>
      <c r="Z576" s="165"/>
      <c r="AA576" s="165"/>
      <c r="AB576" s="165"/>
      <c r="AC576" s="165"/>
      <c r="AD576" s="165"/>
      <c r="AE576" s="165"/>
      <c r="AF576" s="165"/>
      <c r="AG576" s="165"/>
      <c r="AH576" s="165"/>
      <c r="AI576" s="165"/>
      <c r="AJ576" s="165"/>
      <c r="AK576" s="165"/>
      <c r="AL576" s="165"/>
      <c r="AM576" s="165"/>
      <c r="AN576" s="165"/>
      <c r="AO576" s="165"/>
      <c r="AP576" s="165"/>
      <c r="AQ576" s="165"/>
    </row>
    <row r="577" ht="15.75" customHeight="1">
      <c r="H577" s="440"/>
      <c r="U577" s="441"/>
      <c r="V577" s="441"/>
      <c r="W577" s="441"/>
      <c r="X577" s="441"/>
      <c r="Y577" s="442"/>
      <c r="Z577" s="165"/>
      <c r="AA577" s="165"/>
      <c r="AB577" s="165"/>
      <c r="AC577" s="165"/>
      <c r="AD577" s="165"/>
      <c r="AE577" s="165"/>
      <c r="AF577" s="165"/>
      <c r="AG577" s="165"/>
      <c r="AH577" s="165"/>
      <c r="AI577" s="165"/>
      <c r="AJ577" s="165"/>
      <c r="AK577" s="165"/>
      <c r="AL577" s="165"/>
      <c r="AM577" s="165"/>
      <c r="AN577" s="165"/>
      <c r="AO577" s="165"/>
      <c r="AP577" s="165"/>
      <c r="AQ577" s="165"/>
    </row>
    <row r="578" ht="15.75" customHeight="1">
      <c r="H578" s="440"/>
      <c r="U578" s="441"/>
      <c r="V578" s="441"/>
      <c r="W578" s="441"/>
      <c r="X578" s="441"/>
      <c r="Y578" s="442"/>
      <c r="Z578" s="165"/>
      <c r="AA578" s="165"/>
      <c r="AB578" s="165"/>
      <c r="AC578" s="165"/>
      <c r="AD578" s="165"/>
      <c r="AE578" s="165"/>
      <c r="AF578" s="165"/>
      <c r="AG578" s="165"/>
      <c r="AH578" s="165"/>
      <c r="AI578" s="165"/>
      <c r="AJ578" s="165"/>
      <c r="AK578" s="165"/>
      <c r="AL578" s="165"/>
      <c r="AM578" s="165"/>
      <c r="AN578" s="165"/>
      <c r="AO578" s="165"/>
      <c r="AP578" s="165"/>
      <c r="AQ578" s="165"/>
    </row>
    <row r="579" ht="15.75" customHeight="1">
      <c r="H579" s="440"/>
      <c r="U579" s="441"/>
      <c r="V579" s="441"/>
      <c r="W579" s="441"/>
      <c r="X579" s="441"/>
      <c r="Y579" s="442"/>
      <c r="Z579" s="165"/>
      <c r="AA579" s="165"/>
      <c r="AB579" s="165"/>
      <c r="AC579" s="165"/>
      <c r="AD579" s="165"/>
      <c r="AE579" s="165"/>
      <c r="AF579" s="165"/>
      <c r="AG579" s="165"/>
      <c r="AH579" s="165"/>
      <c r="AI579" s="165"/>
      <c r="AJ579" s="165"/>
      <c r="AK579" s="165"/>
      <c r="AL579" s="165"/>
      <c r="AM579" s="165"/>
      <c r="AN579" s="165"/>
      <c r="AO579" s="165"/>
      <c r="AP579" s="165"/>
      <c r="AQ579" s="165"/>
    </row>
    <row r="580" ht="15.75" customHeight="1">
      <c r="H580" s="440"/>
      <c r="U580" s="441"/>
      <c r="V580" s="441"/>
      <c r="W580" s="441"/>
      <c r="X580" s="441"/>
      <c r="Y580" s="442"/>
      <c r="Z580" s="165"/>
      <c r="AA580" s="165"/>
      <c r="AB580" s="165"/>
      <c r="AC580" s="165"/>
      <c r="AD580" s="165"/>
      <c r="AE580" s="165"/>
      <c r="AF580" s="165"/>
      <c r="AG580" s="165"/>
      <c r="AH580" s="165"/>
      <c r="AI580" s="165"/>
      <c r="AJ580" s="165"/>
      <c r="AK580" s="165"/>
      <c r="AL580" s="165"/>
      <c r="AM580" s="165"/>
      <c r="AN580" s="165"/>
      <c r="AO580" s="165"/>
      <c r="AP580" s="165"/>
      <c r="AQ580" s="165"/>
    </row>
    <row r="581" ht="15.75" customHeight="1">
      <c r="H581" s="440"/>
      <c r="U581" s="441"/>
      <c r="V581" s="441"/>
      <c r="W581" s="441"/>
      <c r="X581" s="441"/>
      <c r="Y581" s="442"/>
      <c r="Z581" s="165"/>
      <c r="AA581" s="165"/>
      <c r="AB581" s="165"/>
      <c r="AC581" s="165"/>
      <c r="AD581" s="165"/>
      <c r="AE581" s="165"/>
      <c r="AF581" s="165"/>
      <c r="AG581" s="165"/>
      <c r="AH581" s="165"/>
      <c r="AI581" s="165"/>
      <c r="AJ581" s="165"/>
      <c r="AK581" s="165"/>
      <c r="AL581" s="165"/>
      <c r="AM581" s="165"/>
      <c r="AN581" s="165"/>
      <c r="AO581" s="165"/>
      <c r="AP581" s="165"/>
      <c r="AQ581" s="165"/>
    </row>
    <row r="582" ht="15.75" customHeight="1">
      <c r="H582" s="440"/>
      <c r="U582" s="441"/>
      <c r="V582" s="441"/>
      <c r="W582" s="441"/>
      <c r="X582" s="441"/>
      <c r="Y582" s="442"/>
      <c r="Z582" s="165"/>
      <c r="AA582" s="165"/>
      <c r="AB582" s="165"/>
      <c r="AC582" s="165"/>
      <c r="AD582" s="165"/>
      <c r="AE582" s="165"/>
      <c r="AF582" s="165"/>
      <c r="AG582" s="165"/>
      <c r="AH582" s="165"/>
      <c r="AI582" s="165"/>
      <c r="AJ582" s="165"/>
      <c r="AK582" s="165"/>
      <c r="AL582" s="165"/>
      <c r="AM582" s="165"/>
      <c r="AN582" s="165"/>
      <c r="AO582" s="165"/>
      <c r="AP582" s="165"/>
      <c r="AQ582" s="165"/>
    </row>
    <row r="583" ht="15.75" customHeight="1">
      <c r="H583" s="440"/>
      <c r="U583" s="441"/>
      <c r="V583" s="441"/>
      <c r="W583" s="441"/>
      <c r="X583" s="441"/>
      <c r="Y583" s="442"/>
      <c r="Z583" s="165"/>
      <c r="AA583" s="165"/>
      <c r="AB583" s="165"/>
      <c r="AC583" s="165"/>
      <c r="AD583" s="165"/>
      <c r="AE583" s="165"/>
      <c r="AF583" s="165"/>
      <c r="AG583" s="165"/>
      <c r="AH583" s="165"/>
      <c r="AI583" s="165"/>
      <c r="AJ583" s="165"/>
      <c r="AK583" s="165"/>
      <c r="AL583" s="165"/>
      <c r="AM583" s="165"/>
      <c r="AN583" s="165"/>
      <c r="AO583" s="165"/>
      <c r="AP583" s="165"/>
      <c r="AQ583" s="165"/>
    </row>
    <row r="584" ht="15.75" customHeight="1">
      <c r="H584" s="440"/>
      <c r="U584" s="441"/>
      <c r="V584" s="441"/>
      <c r="W584" s="441"/>
      <c r="X584" s="441"/>
      <c r="Y584" s="442"/>
      <c r="Z584" s="165"/>
      <c r="AA584" s="165"/>
      <c r="AB584" s="165"/>
      <c r="AC584" s="165"/>
      <c r="AD584" s="165"/>
      <c r="AE584" s="165"/>
      <c r="AF584" s="165"/>
      <c r="AG584" s="165"/>
      <c r="AH584" s="165"/>
      <c r="AI584" s="165"/>
      <c r="AJ584" s="165"/>
      <c r="AK584" s="165"/>
      <c r="AL584" s="165"/>
      <c r="AM584" s="165"/>
      <c r="AN584" s="165"/>
      <c r="AO584" s="165"/>
      <c r="AP584" s="165"/>
      <c r="AQ584" s="165"/>
    </row>
    <row r="585" ht="15.75" customHeight="1">
      <c r="H585" s="440"/>
      <c r="U585" s="441"/>
      <c r="V585" s="441"/>
      <c r="W585" s="441"/>
      <c r="X585" s="441"/>
      <c r="Y585" s="442"/>
      <c r="Z585" s="165"/>
      <c r="AA585" s="165"/>
      <c r="AB585" s="165"/>
      <c r="AC585" s="165"/>
      <c r="AD585" s="165"/>
      <c r="AE585" s="165"/>
      <c r="AF585" s="165"/>
      <c r="AG585" s="165"/>
      <c r="AH585" s="165"/>
      <c r="AI585" s="165"/>
      <c r="AJ585" s="165"/>
      <c r="AK585" s="165"/>
      <c r="AL585" s="165"/>
      <c r="AM585" s="165"/>
      <c r="AN585" s="165"/>
      <c r="AO585" s="165"/>
      <c r="AP585" s="165"/>
      <c r="AQ585" s="165"/>
    </row>
    <row r="586" ht="15.75" customHeight="1">
      <c r="H586" s="440"/>
      <c r="U586" s="441"/>
      <c r="V586" s="441"/>
      <c r="W586" s="441"/>
      <c r="X586" s="441"/>
      <c r="Y586" s="442"/>
      <c r="Z586" s="165"/>
      <c r="AA586" s="165"/>
      <c r="AB586" s="165"/>
      <c r="AC586" s="165"/>
      <c r="AD586" s="165"/>
      <c r="AE586" s="165"/>
      <c r="AF586" s="165"/>
      <c r="AG586" s="165"/>
      <c r="AH586" s="165"/>
      <c r="AI586" s="165"/>
      <c r="AJ586" s="165"/>
      <c r="AK586" s="165"/>
      <c r="AL586" s="165"/>
      <c r="AM586" s="165"/>
      <c r="AN586" s="165"/>
      <c r="AO586" s="165"/>
      <c r="AP586" s="165"/>
      <c r="AQ586" s="165"/>
    </row>
    <row r="587" ht="15.75" customHeight="1">
      <c r="H587" s="440"/>
      <c r="U587" s="441"/>
      <c r="V587" s="441"/>
      <c r="W587" s="441"/>
      <c r="X587" s="441"/>
      <c r="Y587" s="442"/>
      <c r="Z587" s="165"/>
      <c r="AA587" s="165"/>
      <c r="AB587" s="165"/>
      <c r="AC587" s="165"/>
      <c r="AD587" s="165"/>
      <c r="AE587" s="165"/>
      <c r="AF587" s="165"/>
      <c r="AG587" s="165"/>
      <c r="AH587" s="165"/>
      <c r="AI587" s="165"/>
      <c r="AJ587" s="165"/>
      <c r="AK587" s="165"/>
      <c r="AL587" s="165"/>
      <c r="AM587" s="165"/>
      <c r="AN587" s="165"/>
      <c r="AO587" s="165"/>
      <c r="AP587" s="165"/>
      <c r="AQ587" s="165"/>
    </row>
    <row r="588" ht="15.75" customHeight="1">
      <c r="H588" s="440"/>
      <c r="U588" s="441"/>
      <c r="V588" s="441"/>
      <c r="W588" s="441"/>
      <c r="X588" s="441"/>
      <c r="Y588" s="442"/>
      <c r="Z588" s="165"/>
      <c r="AA588" s="165"/>
      <c r="AB588" s="165"/>
      <c r="AC588" s="165"/>
      <c r="AD588" s="165"/>
      <c r="AE588" s="165"/>
      <c r="AF588" s="165"/>
      <c r="AG588" s="165"/>
      <c r="AH588" s="165"/>
      <c r="AI588" s="165"/>
      <c r="AJ588" s="165"/>
      <c r="AK588" s="165"/>
      <c r="AL588" s="165"/>
      <c r="AM588" s="165"/>
      <c r="AN588" s="165"/>
      <c r="AO588" s="165"/>
      <c r="AP588" s="165"/>
      <c r="AQ588" s="165"/>
    </row>
    <row r="589" ht="15.75" customHeight="1">
      <c r="H589" s="440"/>
      <c r="U589" s="441"/>
      <c r="V589" s="441"/>
      <c r="W589" s="441"/>
      <c r="X589" s="441"/>
      <c r="Y589" s="442"/>
      <c r="Z589" s="165"/>
      <c r="AA589" s="165"/>
      <c r="AB589" s="165"/>
      <c r="AC589" s="165"/>
      <c r="AD589" s="165"/>
      <c r="AE589" s="165"/>
      <c r="AF589" s="165"/>
      <c r="AG589" s="165"/>
      <c r="AH589" s="165"/>
      <c r="AI589" s="165"/>
      <c r="AJ589" s="165"/>
      <c r="AK589" s="165"/>
      <c r="AL589" s="165"/>
      <c r="AM589" s="165"/>
      <c r="AN589" s="165"/>
      <c r="AO589" s="165"/>
      <c r="AP589" s="165"/>
      <c r="AQ589" s="165"/>
    </row>
    <row r="590" ht="15.75" customHeight="1">
      <c r="H590" s="440"/>
      <c r="U590" s="441"/>
      <c r="V590" s="441"/>
      <c r="W590" s="441"/>
      <c r="X590" s="441"/>
      <c r="Y590" s="442"/>
      <c r="Z590" s="165"/>
      <c r="AA590" s="165"/>
      <c r="AB590" s="165"/>
      <c r="AC590" s="165"/>
      <c r="AD590" s="165"/>
      <c r="AE590" s="165"/>
      <c r="AF590" s="165"/>
      <c r="AG590" s="165"/>
      <c r="AH590" s="165"/>
      <c r="AI590" s="165"/>
      <c r="AJ590" s="165"/>
      <c r="AK590" s="165"/>
      <c r="AL590" s="165"/>
      <c r="AM590" s="165"/>
      <c r="AN590" s="165"/>
      <c r="AO590" s="165"/>
      <c r="AP590" s="165"/>
      <c r="AQ590" s="165"/>
    </row>
    <row r="591" ht="15.75" customHeight="1">
      <c r="H591" s="440"/>
      <c r="U591" s="441"/>
      <c r="V591" s="441"/>
      <c r="W591" s="441"/>
      <c r="X591" s="441"/>
      <c r="Y591" s="442"/>
      <c r="Z591" s="165"/>
      <c r="AA591" s="165"/>
      <c r="AB591" s="165"/>
      <c r="AC591" s="165"/>
      <c r="AD591" s="165"/>
      <c r="AE591" s="165"/>
      <c r="AF591" s="165"/>
      <c r="AG591" s="165"/>
      <c r="AH591" s="165"/>
      <c r="AI591" s="165"/>
      <c r="AJ591" s="165"/>
      <c r="AK591" s="165"/>
      <c r="AL591" s="165"/>
      <c r="AM591" s="165"/>
      <c r="AN591" s="165"/>
      <c r="AO591" s="165"/>
      <c r="AP591" s="165"/>
      <c r="AQ591" s="165"/>
    </row>
    <row r="592" ht="15.75" customHeight="1">
      <c r="H592" s="440"/>
      <c r="U592" s="441"/>
      <c r="V592" s="441"/>
      <c r="W592" s="441"/>
      <c r="X592" s="441"/>
      <c r="Y592" s="442"/>
      <c r="Z592" s="165"/>
      <c r="AA592" s="165"/>
      <c r="AB592" s="165"/>
      <c r="AC592" s="165"/>
      <c r="AD592" s="165"/>
      <c r="AE592" s="165"/>
      <c r="AF592" s="165"/>
      <c r="AG592" s="165"/>
      <c r="AH592" s="165"/>
      <c r="AI592" s="165"/>
      <c r="AJ592" s="165"/>
      <c r="AK592" s="165"/>
      <c r="AL592" s="165"/>
      <c r="AM592" s="165"/>
      <c r="AN592" s="165"/>
      <c r="AO592" s="165"/>
      <c r="AP592" s="165"/>
      <c r="AQ592" s="165"/>
    </row>
    <row r="593" ht="15.75" customHeight="1">
      <c r="H593" s="440"/>
      <c r="U593" s="441"/>
      <c r="V593" s="441"/>
      <c r="W593" s="441"/>
      <c r="X593" s="441"/>
      <c r="Y593" s="442"/>
      <c r="Z593" s="165"/>
      <c r="AA593" s="165"/>
      <c r="AB593" s="165"/>
      <c r="AC593" s="165"/>
      <c r="AD593" s="165"/>
      <c r="AE593" s="165"/>
      <c r="AF593" s="165"/>
      <c r="AG593" s="165"/>
      <c r="AH593" s="165"/>
      <c r="AI593" s="165"/>
      <c r="AJ593" s="165"/>
      <c r="AK593" s="165"/>
      <c r="AL593" s="165"/>
      <c r="AM593" s="165"/>
      <c r="AN593" s="165"/>
      <c r="AO593" s="165"/>
      <c r="AP593" s="165"/>
      <c r="AQ593" s="165"/>
    </row>
    <row r="594" ht="15.75" customHeight="1">
      <c r="H594" s="440"/>
      <c r="U594" s="441"/>
      <c r="V594" s="441"/>
      <c r="W594" s="441"/>
      <c r="X594" s="441"/>
      <c r="Y594" s="442"/>
      <c r="Z594" s="165"/>
      <c r="AA594" s="165"/>
      <c r="AB594" s="165"/>
      <c r="AC594" s="165"/>
      <c r="AD594" s="165"/>
      <c r="AE594" s="165"/>
      <c r="AF594" s="165"/>
      <c r="AG594" s="165"/>
      <c r="AH594" s="165"/>
      <c r="AI594" s="165"/>
      <c r="AJ594" s="165"/>
      <c r="AK594" s="165"/>
      <c r="AL594" s="165"/>
      <c r="AM594" s="165"/>
      <c r="AN594" s="165"/>
      <c r="AO594" s="165"/>
      <c r="AP594" s="165"/>
      <c r="AQ594" s="165"/>
    </row>
    <row r="595" ht="15.75" customHeight="1">
      <c r="H595" s="440"/>
      <c r="U595" s="441"/>
      <c r="V595" s="441"/>
      <c r="W595" s="441"/>
      <c r="X595" s="441"/>
      <c r="Y595" s="442"/>
      <c r="Z595" s="165"/>
      <c r="AA595" s="165"/>
      <c r="AB595" s="165"/>
      <c r="AC595" s="165"/>
      <c r="AD595" s="165"/>
      <c r="AE595" s="165"/>
      <c r="AF595" s="165"/>
      <c r="AG595" s="165"/>
      <c r="AH595" s="165"/>
      <c r="AI595" s="165"/>
      <c r="AJ595" s="165"/>
      <c r="AK595" s="165"/>
      <c r="AL595" s="165"/>
      <c r="AM595" s="165"/>
      <c r="AN595" s="165"/>
      <c r="AO595" s="165"/>
      <c r="AP595" s="165"/>
      <c r="AQ595" s="165"/>
    </row>
    <row r="596" ht="15.75" customHeight="1">
      <c r="H596" s="440"/>
      <c r="U596" s="441"/>
      <c r="V596" s="441"/>
      <c r="W596" s="441"/>
      <c r="X596" s="441"/>
      <c r="Y596" s="442"/>
      <c r="Z596" s="165"/>
      <c r="AA596" s="165"/>
      <c r="AB596" s="165"/>
      <c r="AC596" s="165"/>
      <c r="AD596" s="165"/>
      <c r="AE596" s="165"/>
      <c r="AF596" s="165"/>
      <c r="AG596" s="165"/>
      <c r="AH596" s="165"/>
      <c r="AI596" s="165"/>
      <c r="AJ596" s="165"/>
      <c r="AK596" s="165"/>
      <c r="AL596" s="165"/>
      <c r="AM596" s="165"/>
      <c r="AN596" s="165"/>
      <c r="AO596" s="165"/>
      <c r="AP596" s="165"/>
      <c r="AQ596" s="165"/>
    </row>
    <row r="597" ht="15.75" customHeight="1">
      <c r="H597" s="440"/>
      <c r="U597" s="441"/>
      <c r="V597" s="441"/>
      <c r="W597" s="441"/>
      <c r="X597" s="441"/>
      <c r="Y597" s="442"/>
      <c r="Z597" s="165"/>
      <c r="AA597" s="165"/>
      <c r="AB597" s="165"/>
      <c r="AC597" s="165"/>
      <c r="AD597" s="165"/>
      <c r="AE597" s="165"/>
      <c r="AF597" s="165"/>
      <c r="AG597" s="165"/>
      <c r="AH597" s="165"/>
      <c r="AI597" s="165"/>
      <c r="AJ597" s="165"/>
      <c r="AK597" s="165"/>
      <c r="AL597" s="165"/>
      <c r="AM597" s="165"/>
      <c r="AN597" s="165"/>
      <c r="AO597" s="165"/>
      <c r="AP597" s="165"/>
      <c r="AQ597" s="165"/>
    </row>
    <row r="598" ht="15.75" customHeight="1">
      <c r="H598" s="440"/>
      <c r="U598" s="441"/>
      <c r="V598" s="441"/>
      <c r="W598" s="441"/>
      <c r="X598" s="441"/>
      <c r="Y598" s="442"/>
      <c r="Z598" s="165"/>
      <c r="AA598" s="165"/>
      <c r="AB598" s="165"/>
      <c r="AC598" s="165"/>
      <c r="AD598" s="165"/>
      <c r="AE598" s="165"/>
      <c r="AF598" s="165"/>
      <c r="AG598" s="165"/>
      <c r="AH598" s="165"/>
      <c r="AI598" s="165"/>
      <c r="AJ598" s="165"/>
      <c r="AK598" s="165"/>
      <c r="AL598" s="165"/>
      <c r="AM598" s="165"/>
      <c r="AN598" s="165"/>
      <c r="AO598" s="165"/>
      <c r="AP598" s="165"/>
      <c r="AQ598" s="165"/>
    </row>
    <row r="599" ht="15.75" customHeight="1">
      <c r="H599" s="440"/>
      <c r="U599" s="441"/>
      <c r="V599" s="441"/>
      <c r="W599" s="441"/>
      <c r="X599" s="441"/>
      <c r="Y599" s="442"/>
      <c r="Z599" s="165"/>
      <c r="AA599" s="165"/>
      <c r="AB599" s="165"/>
      <c r="AC599" s="165"/>
      <c r="AD599" s="165"/>
      <c r="AE599" s="165"/>
      <c r="AF599" s="165"/>
      <c r="AG599" s="165"/>
      <c r="AH599" s="165"/>
      <c r="AI599" s="165"/>
      <c r="AJ599" s="165"/>
      <c r="AK599" s="165"/>
      <c r="AL599" s="165"/>
      <c r="AM599" s="165"/>
      <c r="AN599" s="165"/>
      <c r="AO599" s="165"/>
      <c r="AP599" s="165"/>
      <c r="AQ599" s="165"/>
    </row>
    <row r="600" ht="15.75" customHeight="1">
      <c r="H600" s="440"/>
      <c r="U600" s="441"/>
      <c r="V600" s="441"/>
      <c r="W600" s="441"/>
      <c r="X600" s="441"/>
      <c r="Y600" s="442"/>
      <c r="Z600" s="165"/>
      <c r="AA600" s="165"/>
      <c r="AB600" s="165"/>
      <c r="AC600" s="165"/>
      <c r="AD600" s="165"/>
      <c r="AE600" s="165"/>
      <c r="AF600" s="165"/>
      <c r="AG600" s="165"/>
      <c r="AH600" s="165"/>
      <c r="AI600" s="165"/>
      <c r="AJ600" s="165"/>
      <c r="AK600" s="165"/>
      <c r="AL600" s="165"/>
      <c r="AM600" s="165"/>
      <c r="AN600" s="165"/>
      <c r="AO600" s="165"/>
      <c r="AP600" s="165"/>
      <c r="AQ600" s="165"/>
    </row>
    <row r="601" ht="15.75" customHeight="1">
      <c r="H601" s="440"/>
      <c r="U601" s="441"/>
      <c r="V601" s="441"/>
      <c r="W601" s="441"/>
      <c r="X601" s="441"/>
      <c r="Y601" s="442"/>
      <c r="Z601" s="165"/>
      <c r="AA601" s="165"/>
      <c r="AB601" s="165"/>
      <c r="AC601" s="165"/>
      <c r="AD601" s="165"/>
      <c r="AE601" s="165"/>
      <c r="AF601" s="165"/>
      <c r="AG601" s="165"/>
      <c r="AH601" s="165"/>
      <c r="AI601" s="165"/>
      <c r="AJ601" s="165"/>
      <c r="AK601" s="165"/>
      <c r="AL601" s="165"/>
      <c r="AM601" s="165"/>
      <c r="AN601" s="165"/>
      <c r="AO601" s="165"/>
      <c r="AP601" s="165"/>
      <c r="AQ601" s="165"/>
    </row>
    <row r="602" ht="15.75" customHeight="1">
      <c r="H602" s="440"/>
      <c r="U602" s="441"/>
      <c r="V602" s="441"/>
      <c r="W602" s="441"/>
      <c r="X602" s="441"/>
      <c r="Y602" s="442"/>
      <c r="Z602" s="165"/>
      <c r="AA602" s="165"/>
      <c r="AB602" s="165"/>
      <c r="AC602" s="165"/>
      <c r="AD602" s="165"/>
      <c r="AE602" s="165"/>
      <c r="AF602" s="165"/>
      <c r="AG602" s="165"/>
      <c r="AH602" s="165"/>
      <c r="AI602" s="165"/>
      <c r="AJ602" s="165"/>
      <c r="AK602" s="165"/>
      <c r="AL602" s="165"/>
      <c r="AM602" s="165"/>
      <c r="AN602" s="165"/>
      <c r="AO602" s="165"/>
      <c r="AP602" s="165"/>
      <c r="AQ602" s="165"/>
    </row>
    <row r="603" ht="15.75" customHeight="1">
      <c r="H603" s="440"/>
      <c r="U603" s="441"/>
      <c r="V603" s="441"/>
      <c r="W603" s="441"/>
      <c r="X603" s="441"/>
      <c r="Y603" s="442"/>
      <c r="Z603" s="165"/>
      <c r="AA603" s="165"/>
      <c r="AB603" s="165"/>
      <c r="AC603" s="165"/>
      <c r="AD603" s="165"/>
      <c r="AE603" s="165"/>
      <c r="AF603" s="165"/>
      <c r="AG603" s="165"/>
      <c r="AH603" s="165"/>
      <c r="AI603" s="165"/>
      <c r="AJ603" s="165"/>
      <c r="AK603" s="165"/>
      <c r="AL603" s="165"/>
      <c r="AM603" s="165"/>
      <c r="AN603" s="165"/>
      <c r="AO603" s="165"/>
      <c r="AP603" s="165"/>
      <c r="AQ603" s="165"/>
    </row>
    <row r="604" ht="15.75" customHeight="1">
      <c r="H604" s="440"/>
      <c r="U604" s="441"/>
      <c r="V604" s="441"/>
      <c r="W604" s="441"/>
      <c r="X604" s="441"/>
      <c r="Y604" s="442"/>
      <c r="Z604" s="165"/>
      <c r="AA604" s="165"/>
      <c r="AB604" s="165"/>
      <c r="AC604" s="165"/>
      <c r="AD604" s="165"/>
      <c r="AE604" s="165"/>
      <c r="AF604" s="165"/>
      <c r="AG604" s="165"/>
      <c r="AH604" s="165"/>
      <c r="AI604" s="165"/>
      <c r="AJ604" s="165"/>
      <c r="AK604" s="165"/>
      <c r="AL604" s="165"/>
      <c r="AM604" s="165"/>
      <c r="AN604" s="165"/>
      <c r="AO604" s="165"/>
      <c r="AP604" s="165"/>
      <c r="AQ604" s="165"/>
    </row>
    <row r="605" ht="15.75" customHeight="1">
      <c r="H605" s="440"/>
      <c r="U605" s="441"/>
      <c r="V605" s="441"/>
      <c r="W605" s="441"/>
      <c r="X605" s="441"/>
      <c r="Y605" s="442"/>
      <c r="Z605" s="165"/>
      <c r="AA605" s="165"/>
      <c r="AB605" s="165"/>
      <c r="AC605" s="165"/>
      <c r="AD605" s="165"/>
      <c r="AE605" s="165"/>
      <c r="AF605" s="165"/>
      <c r="AG605" s="165"/>
      <c r="AH605" s="165"/>
      <c r="AI605" s="165"/>
      <c r="AJ605" s="165"/>
      <c r="AK605" s="165"/>
      <c r="AL605" s="165"/>
      <c r="AM605" s="165"/>
      <c r="AN605" s="165"/>
      <c r="AO605" s="165"/>
      <c r="AP605" s="165"/>
      <c r="AQ605" s="165"/>
    </row>
    <row r="606" ht="15.75" customHeight="1">
      <c r="H606" s="440"/>
      <c r="U606" s="441"/>
      <c r="V606" s="441"/>
      <c r="W606" s="441"/>
      <c r="X606" s="441"/>
      <c r="Y606" s="442"/>
      <c r="Z606" s="165"/>
      <c r="AA606" s="165"/>
      <c r="AB606" s="165"/>
      <c r="AC606" s="165"/>
      <c r="AD606" s="165"/>
      <c r="AE606" s="165"/>
      <c r="AF606" s="165"/>
      <c r="AG606" s="165"/>
      <c r="AH606" s="165"/>
      <c r="AI606" s="165"/>
      <c r="AJ606" s="165"/>
      <c r="AK606" s="165"/>
      <c r="AL606" s="165"/>
      <c r="AM606" s="165"/>
      <c r="AN606" s="165"/>
      <c r="AO606" s="165"/>
      <c r="AP606" s="165"/>
      <c r="AQ606" s="165"/>
    </row>
    <row r="607" ht="15.75" customHeight="1">
      <c r="H607" s="440"/>
      <c r="U607" s="441"/>
      <c r="V607" s="441"/>
      <c r="W607" s="441"/>
      <c r="X607" s="441"/>
      <c r="Y607" s="442"/>
      <c r="Z607" s="165"/>
      <c r="AA607" s="165"/>
      <c r="AB607" s="165"/>
      <c r="AC607" s="165"/>
      <c r="AD607" s="165"/>
      <c r="AE607" s="165"/>
      <c r="AF607" s="165"/>
      <c r="AG607" s="165"/>
      <c r="AH607" s="165"/>
      <c r="AI607" s="165"/>
      <c r="AJ607" s="165"/>
      <c r="AK607" s="165"/>
      <c r="AL607" s="165"/>
      <c r="AM607" s="165"/>
      <c r="AN607" s="165"/>
      <c r="AO607" s="165"/>
      <c r="AP607" s="165"/>
      <c r="AQ607" s="165"/>
    </row>
    <row r="608" ht="15.75" customHeight="1">
      <c r="H608" s="440"/>
      <c r="U608" s="441"/>
      <c r="V608" s="441"/>
      <c r="W608" s="441"/>
      <c r="X608" s="441"/>
      <c r="Y608" s="442"/>
      <c r="Z608" s="165"/>
      <c r="AA608" s="165"/>
      <c r="AB608" s="165"/>
      <c r="AC608" s="165"/>
      <c r="AD608" s="165"/>
      <c r="AE608" s="165"/>
      <c r="AF608" s="165"/>
      <c r="AG608" s="165"/>
      <c r="AH608" s="165"/>
      <c r="AI608" s="165"/>
      <c r="AJ608" s="165"/>
      <c r="AK608" s="165"/>
      <c r="AL608" s="165"/>
      <c r="AM608" s="165"/>
      <c r="AN608" s="165"/>
      <c r="AO608" s="165"/>
      <c r="AP608" s="165"/>
      <c r="AQ608" s="165"/>
    </row>
    <row r="609" ht="15.75" customHeight="1">
      <c r="H609" s="440"/>
      <c r="U609" s="441"/>
      <c r="V609" s="441"/>
      <c r="W609" s="441"/>
      <c r="X609" s="441"/>
      <c r="Y609" s="442"/>
      <c r="Z609" s="165"/>
      <c r="AA609" s="165"/>
      <c r="AB609" s="165"/>
      <c r="AC609" s="165"/>
      <c r="AD609" s="165"/>
      <c r="AE609" s="165"/>
      <c r="AF609" s="165"/>
      <c r="AG609" s="165"/>
      <c r="AH609" s="165"/>
      <c r="AI609" s="165"/>
      <c r="AJ609" s="165"/>
      <c r="AK609" s="165"/>
      <c r="AL609" s="165"/>
      <c r="AM609" s="165"/>
      <c r="AN609" s="165"/>
      <c r="AO609" s="165"/>
      <c r="AP609" s="165"/>
      <c r="AQ609" s="165"/>
    </row>
    <row r="610" ht="15.75" customHeight="1">
      <c r="H610" s="440"/>
      <c r="U610" s="441"/>
      <c r="V610" s="441"/>
      <c r="W610" s="441"/>
      <c r="X610" s="441"/>
      <c r="Y610" s="442"/>
      <c r="Z610" s="165"/>
      <c r="AA610" s="165"/>
      <c r="AB610" s="165"/>
      <c r="AC610" s="165"/>
      <c r="AD610" s="165"/>
      <c r="AE610" s="165"/>
      <c r="AF610" s="165"/>
      <c r="AG610" s="165"/>
      <c r="AH610" s="165"/>
      <c r="AI610" s="165"/>
      <c r="AJ610" s="165"/>
      <c r="AK610" s="165"/>
      <c r="AL610" s="165"/>
      <c r="AM610" s="165"/>
      <c r="AN610" s="165"/>
      <c r="AO610" s="165"/>
      <c r="AP610" s="165"/>
      <c r="AQ610" s="165"/>
    </row>
    <row r="611" ht="15.75" customHeight="1">
      <c r="H611" s="440"/>
      <c r="U611" s="441"/>
      <c r="V611" s="441"/>
      <c r="W611" s="441"/>
      <c r="X611" s="441"/>
      <c r="Y611" s="442"/>
      <c r="Z611" s="165"/>
      <c r="AA611" s="165"/>
      <c r="AB611" s="165"/>
      <c r="AC611" s="165"/>
      <c r="AD611" s="165"/>
      <c r="AE611" s="165"/>
      <c r="AF611" s="165"/>
      <c r="AG611" s="165"/>
      <c r="AH611" s="165"/>
      <c r="AI611" s="165"/>
      <c r="AJ611" s="165"/>
      <c r="AK611" s="165"/>
      <c r="AL611" s="165"/>
      <c r="AM611" s="165"/>
      <c r="AN611" s="165"/>
      <c r="AO611" s="165"/>
      <c r="AP611" s="165"/>
      <c r="AQ611" s="165"/>
    </row>
    <row r="612" ht="15.75" customHeight="1">
      <c r="H612" s="440"/>
      <c r="U612" s="441"/>
      <c r="V612" s="441"/>
      <c r="W612" s="441"/>
      <c r="X612" s="441"/>
      <c r="Y612" s="442"/>
      <c r="Z612" s="165"/>
      <c r="AA612" s="165"/>
      <c r="AB612" s="165"/>
      <c r="AC612" s="165"/>
      <c r="AD612" s="165"/>
      <c r="AE612" s="165"/>
      <c r="AF612" s="165"/>
      <c r="AG612" s="165"/>
      <c r="AH612" s="165"/>
      <c r="AI612" s="165"/>
      <c r="AJ612" s="165"/>
      <c r="AK612" s="165"/>
      <c r="AL612" s="165"/>
      <c r="AM612" s="165"/>
      <c r="AN612" s="165"/>
      <c r="AO612" s="165"/>
      <c r="AP612" s="165"/>
      <c r="AQ612" s="165"/>
    </row>
    <row r="613" ht="15.75" customHeight="1">
      <c r="H613" s="440"/>
      <c r="U613" s="441"/>
      <c r="V613" s="441"/>
      <c r="W613" s="441"/>
      <c r="X613" s="441"/>
      <c r="Y613" s="442"/>
      <c r="Z613" s="165"/>
      <c r="AA613" s="165"/>
      <c r="AB613" s="165"/>
      <c r="AC613" s="165"/>
      <c r="AD613" s="165"/>
      <c r="AE613" s="165"/>
      <c r="AF613" s="165"/>
      <c r="AG613" s="165"/>
      <c r="AH613" s="165"/>
      <c r="AI613" s="165"/>
      <c r="AJ613" s="165"/>
      <c r="AK613" s="165"/>
      <c r="AL613" s="165"/>
      <c r="AM613" s="165"/>
      <c r="AN613" s="165"/>
      <c r="AO613" s="165"/>
      <c r="AP613" s="165"/>
      <c r="AQ613" s="165"/>
    </row>
    <row r="614" ht="15.75" customHeight="1">
      <c r="H614" s="440"/>
      <c r="U614" s="441"/>
      <c r="V614" s="441"/>
      <c r="W614" s="441"/>
      <c r="X614" s="441"/>
      <c r="Y614" s="442"/>
      <c r="Z614" s="165"/>
      <c r="AA614" s="165"/>
      <c r="AB614" s="165"/>
      <c r="AC614" s="165"/>
      <c r="AD614" s="165"/>
      <c r="AE614" s="165"/>
      <c r="AF614" s="165"/>
      <c r="AG614" s="165"/>
      <c r="AH614" s="165"/>
      <c r="AI614" s="165"/>
      <c r="AJ614" s="165"/>
      <c r="AK614" s="165"/>
      <c r="AL614" s="165"/>
      <c r="AM614" s="165"/>
      <c r="AN614" s="165"/>
      <c r="AO614" s="165"/>
      <c r="AP614" s="165"/>
      <c r="AQ614" s="165"/>
    </row>
    <row r="615" ht="15.75" customHeight="1">
      <c r="H615" s="440"/>
      <c r="U615" s="441"/>
      <c r="V615" s="441"/>
      <c r="W615" s="441"/>
      <c r="X615" s="441"/>
      <c r="Y615" s="442"/>
      <c r="Z615" s="165"/>
      <c r="AA615" s="165"/>
      <c r="AB615" s="165"/>
      <c r="AC615" s="165"/>
      <c r="AD615" s="165"/>
      <c r="AE615" s="165"/>
      <c r="AF615" s="165"/>
      <c r="AG615" s="165"/>
      <c r="AH615" s="165"/>
      <c r="AI615" s="165"/>
      <c r="AJ615" s="165"/>
      <c r="AK615" s="165"/>
      <c r="AL615" s="165"/>
      <c r="AM615" s="165"/>
      <c r="AN615" s="165"/>
      <c r="AO615" s="165"/>
      <c r="AP615" s="165"/>
      <c r="AQ615" s="165"/>
    </row>
    <row r="616" ht="15.75" customHeight="1">
      <c r="H616" s="440"/>
      <c r="U616" s="441"/>
      <c r="V616" s="441"/>
      <c r="W616" s="441"/>
      <c r="X616" s="441"/>
      <c r="Y616" s="442"/>
      <c r="Z616" s="165"/>
      <c r="AA616" s="165"/>
      <c r="AB616" s="165"/>
      <c r="AC616" s="165"/>
      <c r="AD616" s="165"/>
      <c r="AE616" s="165"/>
      <c r="AF616" s="165"/>
      <c r="AG616" s="165"/>
      <c r="AH616" s="165"/>
      <c r="AI616" s="165"/>
      <c r="AJ616" s="165"/>
      <c r="AK616" s="165"/>
      <c r="AL616" s="165"/>
      <c r="AM616" s="165"/>
      <c r="AN616" s="165"/>
      <c r="AO616" s="165"/>
      <c r="AP616" s="165"/>
      <c r="AQ616" s="165"/>
    </row>
    <row r="617" ht="15.75" customHeight="1">
      <c r="H617" s="440"/>
      <c r="U617" s="441"/>
      <c r="V617" s="441"/>
      <c r="W617" s="441"/>
      <c r="X617" s="441"/>
      <c r="Y617" s="442"/>
      <c r="Z617" s="165"/>
      <c r="AA617" s="165"/>
      <c r="AB617" s="165"/>
      <c r="AC617" s="165"/>
      <c r="AD617" s="165"/>
      <c r="AE617" s="165"/>
      <c r="AF617" s="165"/>
      <c r="AG617" s="165"/>
      <c r="AH617" s="165"/>
      <c r="AI617" s="165"/>
      <c r="AJ617" s="165"/>
      <c r="AK617" s="165"/>
      <c r="AL617" s="165"/>
      <c r="AM617" s="165"/>
      <c r="AN617" s="165"/>
      <c r="AO617" s="165"/>
      <c r="AP617" s="165"/>
      <c r="AQ617" s="165"/>
    </row>
    <row r="618" ht="15.75" customHeight="1">
      <c r="H618" s="440"/>
      <c r="U618" s="441"/>
      <c r="V618" s="441"/>
      <c r="W618" s="441"/>
      <c r="X618" s="441"/>
      <c r="Y618" s="442"/>
      <c r="Z618" s="165"/>
      <c r="AA618" s="165"/>
      <c r="AB618" s="165"/>
      <c r="AC618" s="165"/>
      <c r="AD618" s="165"/>
      <c r="AE618" s="165"/>
      <c r="AF618" s="165"/>
      <c r="AG618" s="165"/>
      <c r="AH618" s="165"/>
      <c r="AI618" s="165"/>
      <c r="AJ618" s="165"/>
      <c r="AK618" s="165"/>
      <c r="AL618" s="165"/>
      <c r="AM618" s="165"/>
      <c r="AN618" s="165"/>
      <c r="AO618" s="165"/>
      <c r="AP618" s="165"/>
      <c r="AQ618" s="165"/>
    </row>
    <row r="619" ht="15.75" customHeight="1">
      <c r="H619" s="440"/>
      <c r="U619" s="441"/>
      <c r="V619" s="441"/>
      <c r="W619" s="441"/>
      <c r="X619" s="441"/>
      <c r="Y619" s="442"/>
      <c r="Z619" s="165"/>
      <c r="AA619" s="165"/>
      <c r="AB619" s="165"/>
      <c r="AC619" s="165"/>
      <c r="AD619" s="165"/>
      <c r="AE619" s="165"/>
      <c r="AF619" s="165"/>
      <c r="AG619" s="165"/>
      <c r="AH619" s="165"/>
      <c r="AI619" s="165"/>
      <c r="AJ619" s="165"/>
      <c r="AK619" s="165"/>
      <c r="AL619" s="165"/>
      <c r="AM619" s="165"/>
      <c r="AN619" s="165"/>
      <c r="AO619" s="165"/>
      <c r="AP619" s="165"/>
      <c r="AQ619" s="165"/>
    </row>
    <row r="620" ht="15.75" customHeight="1">
      <c r="H620" s="440"/>
      <c r="U620" s="441"/>
      <c r="V620" s="441"/>
      <c r="W620" s="441"/>
      <c r="X620" s="441"/>
      <c r="Y620" s="442"/>
      <c r="Z620" s="165"/>
      <c r="AA620" s="165"/>
      <c r="AB620" s="165"/>
      <c r="AC620" s="165"/>
      <c r="AD620" s="165"/>
      <c r="AE620" s="165"/>
      <c r="AF620" s="165"/>
      <c r="AG620" s="165"/>
      <c r="AH620" s="165"/>
      <c r="AI620" s="165"/>
      <c r="AJ620" s="165"/>
      <c r="AK620" s="165"/>
      <c r="AL620" s="165"/>
      <c r="AM620" s="165"/>
      <c r="AN620" s="165"/>
      <c r="AO620" s="165"/>
      <c r="AP620" s="165"/>
      <c r="AQ620" s="165"/>
    </row>
    <row r="621" ht="15.75" customHeight="1">
      <c r="H621" s="440"/>
      <c r="U621" s="441"/>
      <c r="V621" s="441"/>
      <c r="W621" s="441"/>
      <c r="X621" s="441"/>
      <c r="Y621" s="442"/>
      <c r="Z621" s="165"/>
      <c r="AA621" s="165"/>
      <c r="AB621" s="165"/>
      <c r="AC621" s="165"/>
      <c r="AD621" s="165"/>
      <c r="AE621" s="165"/>
      <c r="AF621" s="165"/>
      <c r="AG621" s="165"/>
      <c r="AH621" s="165"/>
      <c r="AI621" s="165"/>
      <c r="AJ621" s="165"/>
      <c r="AK621" s="165"/>
      <c r="AL621" s="165"/>
      <c r="AM621" s="165"/>
      <c r="AN621" s="165"/>
      <c r="AO621" s="165"/>
      <c r="AP621" s="165"/>
      <c r="AQ621" s="165"/>
    </row>
    <row r="622" ht="15.75" customHeight="1">
      <c r="H622" s="440"/>
      <c r="U622" s="441"/>
      <c r="V622" s="441"/>
      <c r="W622" s="441"/>
      <c r="X622" s="441"/>
      <c r="Y622" s="442"/>
      <c r="Z622" s="165"/>
      <c r="AA622" s="165"/>
      <c r="AB622" s="165"/>
      <c r="AC622" s="165"/>
      <c r="AD622" s="165"/>
      <c r="AE622" s="165"/>
      <c r="AF622" s="165"/>
      <c r="AG622" s="165"/>
      <c r="AH622" s="165"/>
      <c r="AI622" s="165"/>
      <c r="AJ622" s="165"/>
      <c r="AK622" s="165"/>
      <c r="AL622" s="165"/>
      <c r="AM622" s="165"/>
      <c r="AN622" s="165"/>
      <c r="AO622" s="165"/>
      <c r="AP622" s="165"/>
      <c r="AQ622" s="165"/>
    </row>
    <row r="623" ht="15.75" customHeight="1">
      <c r="H623" s="440"/>
      <c r="U623" s="441"/>
      <c r="V623" s="441"/>
      <c r="W623" s="441"/>
      <c r="X623" s="441"/>
      <c r="Y623" s="442"/>
      <c r="Z623" s="165"/>
      <c r="AA623" s="165"/>
      <c r="AB623" s="165"/>
      <c r="AC623" s="165"/>
      <c r="AD623" s="165"/>
      <c r="AE623" s="165"/>
      <c r="AF623" s="165"/>
      <c r="AG623" s="165"/>
      <c r="AH623" s="165"/>
      <c r="AI623" s="165"/>
      <c r="AJ623" s="165"/>
      <c r="AK623" s="165"/>
      <c r="AL623" s="165"/>
      <c r="AM623" s="165"/>
      <c r="AN623" s="165"/>
      <c r="AO623" s="165"/>
      <c r="AP623" s="165"/>
      <c r="AQ623" s="165"/>
    </row>
    <row r="624" ht="15.75" customHeight="1">
      <c r="H624" s="440"/>
      <c r="U624" s="441"/>
      <c r="V624" s="441"/>
      <c r="W624" s="441"/>
      <c r="X624" s="441"/>
      <c r="Y624" s="442"/>
      <c r="Z624" s="165"/>
      <c r="AA624" s="165"/>
      <c r="AB624" s="165"/>
      <c r="AC624" s="165"/>
      <c r="AD624" s="165"/>
      <c r="AE624" s="165"/>
      <c r="AF624" s="165"/>
      <c r="AG624" s="165"/>
      <c r="AH624" s="165"/>
      <c r="AI624" s="165"/>
      <c r="AJ624" s="165"/>
      <c r="AK624" s="165"/>
      <c r="AL624" s="165"/>
      <c r="AM624" s="165"/>
      <c r="AN624" s="165"/>
      <c r="AO624" s="165"/>
      <c r="AP624" s="165"/>
      <c r="AQ624" s="165"/>
    </row>
    <row r="625" ht="15.75" customHeight="1">
      <c r="H625" s="440"/>
      <c r="U625" s="441"/>
      <c r="V625" s="441"/>
      <c r="W625" s="441"/>
      <c r="X625" s="441"/>
      <c r="Y625" s="442"/>
      <c r="Z625" s="165"/>
      <c r="AA625" s="165"/>
      <c r="AB625" s="165"/>
      <c r="AC625" s="165"/>
      <c r="AD625" s="165"/>
      <c r="AE625" s="165"/>
      <c r="AF625" s="165"/>
      <c r="AG625" s="165"/>
      <c r="AH625" s="165"/>
      <c r="AI625" s="165"/>
      <c r="AJ625" s="165"/>
      <c r="AK625" s="165"/>
      <c r="AL625" s="165"/>
      <c r="AM625" s="165"/>
      <c r="AN625" s="165"/>
      <c r="AO625" s="165"/>
      <c r="AP625" s="165"/>
      <c r="AQ625" s="165"/>
    </row>
    <row r="626" ht="15.75" customHeight="1">
      <c r="H626" s="440"/>
      <c r="U626" s="441"/>
      <c r="V626" s="441"/>
      <c r="W626" s="441"/>
      <c r="X626" s="441"/>
      <c r="Y626" s="442"/>
      <c r="Z626" s="165"/>
      <c r="AA626" s="165"/>
      <c r="AB626" s="165"/>
      <c r="AC626" s="165"/>
      <c r="AD626" s="165"/>
      <c r="AE626" s="165"/>
      <c r="AF626" s="165"/>
      <c r="AG626" s="165"/>
      <c r="AH626" s="165"/>
      <c r="AI626" s="165"/>
      <c r="AJ626" s="165"/>
      <c r="AK626" s="165"/>
      <c r="AL626" s="165"/>
      <c r="AM626" s="165"/>
      <c r="AN626" s="165"/>
      <c r="AO626" s="165"/>
      <c r="AP626" s="165"/>
      <c r="AQ626" s="165"/>
    </row>
    <row r="627" ht="15.75" customHeight="1">
      <c r="H627" s="440"/>
      <c r="U627" s="441"/>
      <c r="V627" s="441"/>
      <c r="W627" s="441"/>
      <c r="X627" s="441"/>
      <c r="Y627" s="442"/>
      <c r="Z627" s="165"/>
      <c r="AA627" s="165"/>
      <c r="AB627" s="165"/>
      <c r="AC627" s="165"/>
      <c r="AD627" s="165"/>
      <c r="AE627" s="165"/>
      <c r="AF627" s="165"/>
      <c r="AG627" s="165"/>
      <c r="AH627" s="165"/>
      <c r="AI627" s="165"/>
      <c r="AJ627" s="165"/>
      <c r="AK627" s="165"/>
      <c r="AL627" s="165"/>
      <c r="AM627" s="165"/>
      <c r="AN627" s="165"/>
      <c r="AO627" s="165"/>
      <c r="AP627" s="165"/>
      <c r="AQ627" s="165"/>
    </row>
    <row r="628" ht="15.75" customHeight="1">
      <c r="H628" s="440"/>
      <c r="U628" s="441"/>
      <c r="V628" s="441"/>
      <c r="W628" s="441"/>
      <c r="X628" s="441"/>
      <c r="Y628" s="442"/>
      <c r="Z628" s="165"/>
      <c r="AA628" s="165"/>
      <c r="AB628" s="165"/>
      <c r="AC628" s="165"/>
      <c r="AD628" s="165"/>
      <c r="AE628" s="165"/>
      <c r="AF628" s="165"/>
      <c r="AG628" s="165"/>
      <c r="AH628" s="165"/>
      <c r="AI628" s="165"/>
      <c r="AJ628" s="165"/>
      <c r="AK628" s="165"/>
      <c r="AL628" s="165"/>
      <c r="AM628" s="165"/>
      <c r="AN628" s="165"/>
      <c r="AO628" s="165"/>
      <c r="AP628" s="165"/>
      <c r="AQ628" s="165"/>
    </row>
    <row r="629" ht="15.75" customHeight="1">
      <c r="H629" s="440"/>
      <c r="U629" s="441"/>
      <c r="V629" s="441"/>
      <c r="W629" s="441"/>
      <c r="X629" s="441"/>
      <c r="Y629" s="442"/>
      <c r="Z629" s="165"/>
      <c r="AA629" s="165"/>
      <c r="AB629" s="165"/>
      <c r="AC629" s="165"/>
      <c r="AD629" s="165"/>
      <c r="AE629" s="165"/>
      <c r="AF629" s="165"/>
      <c r="AG629" s="165"/>
      <c r="AH629" s="165"/>
      <c r="AI629" s="165"/>
      <c r="AJ629" s="165"/>
      <c r="AK629" s="165"/>
      <c r="AL629" s="165"/>
      <c r="AM629" s="165"/>
      <c r="AN629" s="165"/>
      <c r="AO629" s="165"/>
      <c r="AP629" s="165"/>
      <c r="AQ629" s="165"/>
    </row>
    <row r="630" ht="15.75" customHeight="1">
      <c r="H630" s="440"/>
      <c r="U630" s="441"/>
      <c r="V630" s="441"/>
      <c r="W630" s="441"/>
      <c r="X630" s="441"/>
      <c r="Y630" s="442"/>
      <c r="Z630" s="165"/>
      <c r="AA630" s="165"/>
      <c r="AB630" s="165"/>
      <c r="AC630" s="165"/>
      <c r="AD630" s="165"/>
      <c r="AE630" s="165"/>
      <c r="AF630" s="165"/>
      <c r="AG630" s="165"/>
      <c r="AH630" s="165"/>
      <c r="AI630" s="165"/>
      <c r="AJ630" s="165"/>
      <c r="AK630" s="165"/>
      <c r="AL630" s="165"/>
      <c r="AM630" s="165"/>
      <c r="AN630" s="165"/>
      <c r="AO630" s="165"/>
      <c r="AP630" s="165"/>
      <c r="AQ630" s="165"/>
    </row>
    <row r="631" ht="15.75" customHeight="1">
      <c r="H631" s="440"/>
      <c r="U631" s="441"/>
      <c r="V631" s="441"/>
      <c r="W631" s="441"/>
      <c r="X631" s="441"/>
      <c r="Y631" s="442"/>
      <c r="Z631" s="165"/>
      <c r="AA631" s="165"/>
      <c r="AB631" s="165"/>
      <c r="AC631" s="165"/>
      <c r="AD631" s="165"/>
      <c r="AE631" s="165"/>
      <c r="AF631" s="165"/>
      <c r="AG631" s="165"/>
      <c r="AH631" s="165"/>
      <c r="AI631" s="165"/>
      <c r="AJ631" s="165"/>
      <c r="AK631" s="165"/>
      <c r="AL631" s="165"/>
      <c r="AM631" s="165"/>
      <c r="AN631" s="165"/>
      <c r="AO631" s="165"/>
      <c r="AP631" s="165"/>
      <c r="AQ631" s="165"/>
    </row>
    <row r="632" ht="15.75" customHeight="1">
      <c r="H632" s="440"/>
      <c r="U632" s="441"/>
      <c r="V632" s="441"/>
      <c r="W632" s="441"/>
      <c r="X632" s="441"/>
      <c r="Y632" s="442"/>
      <c r="Z632" s="165"/>
      <c r="AA632" s="165"/>
      <c r="AB632" s="165"/>
      <c r="AC632" s="165"/>
      <c r="AD632" s="165"/>
      <c r="AE632" s="165"/>
      <c r="AF632" s="165"/>
      <c r="AG632" s="165"/>
      <c r="AH632" s="165"/>
      <c r="AI632" s="165"/>
      <c r="AJ632" s="165"/>
      <c r="AK632" s="165"/>
      <c r="AL632" s="165"/>
      <c r="AM632" s="165"/>
      <c r="AN632" s="165"/>
      <c r="AO632" s="165"/>
      <c r="AP632" s="165"/>
      <c r="AQ632" s="165"/>
    </row>
    <row r="633" ht="15.75" customHeight="1">
      <c r="H633" s="440"/>
      <c r="U633" s="441"/>
      <c r="V633" s="441"/>
      <c r="W633" s="441"/>
      <c r="X633" s="441"/>
      <c r="Y633" s="442"/>
      <c r="Z633" s="165"/>
      <c r="AA633" s="165"/>
      <c r="AB633" s="165"/>
      <c r="AC633" s="165"/>
      <c r="AD633" s="165"/>
      <c r="AE633" s="165"/>
      <c r="AF633" s="165"/>
      <c r="AG633" s="165"/>
      <c r="AH633" s="165"/>
      <c r="AI633" s="165"/>
      <c r="AJ633" s="165"/>
      <c r="AK633" s="165"/>
      <c r="AL633" s="165"/>
      <c r="AM633" s="165"/>
      <c r="AN633" s="165"/>
      <c r="AO633" s="165"/>
      <c r="AP633" s="165"/>
      <c r="AQ633" s="165"/>
    </row>
    <row r="634" ht="15.75" customHeight="1">
      <c r="H634" s="440"/>
      <c r="U634" s="441"/>
      <c r="V634" s="441"/>
      <c r="W634" s="441"/>
      <c r="X634" s="441"/>
      <c r="Y634" s="442"/>
      <c r="Z634" s="165"/>
      <c r="AA634" s="165"/>
      <c r="AB634" s="165"/>
      <c r="AC634" s="165"/>
      <c r="AD634" s="165"/>
      <c r="AE634" s="165"/>
      <c r="AF634" s="165"/>
      <c r="AG634" s="165"/>
      <c r="AH634" s="165"/>
      <c r="AI634" s="165"/>
      <c r="AJ634" s="165"/>
      <c r="AK634" s="165"/>
      <c r="AL634" s="165"/>
      <c r="AM634" s="165"/>
      <c r="AN634" s="165"/>
      <c r="AO634" s="165"/>
      <c r="AP634" s="165"/>
      <c r="AQ634" s="165"/>
    </row>
    <row r="635" ht="15.75" customHeight="1">
      <c r="H635" s="440"/>
      <c r="U635" s="441"/>
      <c r="V635" s="441"/>
      <c r="W635" s="441"/>
      <c r="X635" s="441"/>
      <c r="Y635" s="442"/>
      <c r="Z635" s="165"/>
      <c r="AA635" s="165"/>
      <c r="AB635" s="165"/>
      <c r="AC635" s="165"/>
      <c r="AD635" s="165"/>
      <c r="AE635" s="165"/>
      <c r="AF635" s="165"/>
      <c r="AG635" s="165"/>
      <c r="AH635" s="165"/>
      <c r="AI635" s="165"/>
      <c r="AJ635" s="165"/>
      <c r="AK635" s="165"/>
      <c r="AL635" s="165"/>
      <c r="AM635" s="165"/>
      <c r="AN635" s="165"/>
      <c r="AO635" s="165"/>
      <c r="AP635" s="165"/>
      <c r="AQ635" s="165"/>
    </row>
    <row r="636" ht="15.75" customHeight="1">
      <c r="H636" s="440"/>
      <c r="U636" s="441"/>
      <c r="V636" s="441"/>
      <c r="W636" s="441"/>
      <c r="X636" s="441"/>
      <c r="Y636" s="442"/>
      <c r="Z636" s="165"/>
      <c r="AA636" s="165"/>
      <c r="AB636" s="165"/>
      <c r="AC636" s="165"/>
      <c r="AD636" s="165"/>
      <c r="AE636" s="165"/>
      <c r="AF636" s="165"/>
      <c r="AG636" s="165"/>
      <c r="AH636" s="165"/>
      <c r="AI636" s="165"/>
      <c r="AJ636" s="165"/>
      <c r="AK636" s="165"/>
      <c r="AL636" s="165"/>
      <c r="AM636" s="165"/>
      <c r="AN636" s="165"/>
      <c r="AO636" s="165"/>
      <c r="AP636" s="165"/>
      <c r="AQ636" s="165"/>
    </row>
    <row r="637" ht="15.75" customHeight="1">
      <c r="H637" s="440"/>
      <c r="U637" s="441"/>
      <c r="V637" s="441"/>
      <c r="W637" s="441"/>
      <c r="X637" s="441"/>
      <c r="Y637" s="442"/>
      <c r="Z637" s="165"/>
      <c r="AA637" s="165"/>
      <c r="AB637" s="165"/>
      <c r="AC637" s="165"/>
      <c r="AD637" s="165"/>
      <c r="AE637" s="165"/>
      <c r="AF637" s="165"/>
      <c r="AG637" s="165"/>
      <c r="AH637" s="165"/>
      <c r="AI637" s="165"/>
      <c r="AJ637" s="165"/>
      <c r="AK637" s="165"/>
      <c r="AL637" s="165"/>
      <c r="AM637" s="165"/>
      <c r="AN637" s="165"/>
      <c r="AO637" s="165"/>
      <c r="AP637" s="165"/>
      <c r="AQ637" s="165"/>
    </row>
    <row r="638" ht="15.75" customHeight="1">
      <c r="H638" s="440"/>
      <c r="U638" s="441"/>
      <c r="V638" s="441"/>
      <c r="W638" s="441"/>
      <c r="X638" s="441"/>
      <c r="Y638" s="442"/>
      <c r="Z638" s="165"/>
      <c r="AA638" s="165"/>
      <c r="AB638" s="165"/>
      <c r="AC638" s="165"/>
      <c r="AD638" s="165"/>
      <c r="AE638" s="165"/>
      <c r="AF638" s="165"/>
      <c r="AG638" s="165"/>
      <c r="AH638" s="165"/>
      <c r="AI638" s="165"/>
      <c r="AJ638" s="165"/>
      <c r="AK638" s="165"/>
      <c r="AL638" s="165"/>
      <c r="AM638" s="165"/>
      <c r="AN638" s="165"/>
      <c r="AO638" s="165"/>
      <c r="AP638" s="165"/>
      <c r="AQ638" s="165"/>
    </row>
    <row r="639" ht="15.75" customHeight="1">
      <c r="H639" s="440"/>
      <c r="U639" s="441"/>
      <c r="V639" s="441"/>
      <c r="W639" s="441"/>
      <c r="X639" s="441"/>
      <c r="Y639" s="442"/>
      <c r="Z639" s="165"/>
      <c r="AA639" s="165"/>
      <c r="AB639" s="165"/>
      <c r="AC639" s="165"/>
      <c r="AD639" s="165"/>
      <c r="AE639" s="165"/>
      <c r="AF639" s="165"/>
      <c r="AG639" s="165"/>
      <c r="AH639" s="165"/>
      <c r="AI639" s="165"/>
      <c r="AJ639" s="165"/>
      <c r="AK639" s="165"/>
      <c r="AL639" s="165"/>
      <c r="AM639" s="165"/>
      <c r="AN639" s="165"/>
      <c r="AO639" s="165"/>
      <c r="AP639" s="165"/>
      <c r="AQ639" s="165"/>
    </row>
    <row r="640" ht="15.75" customHeight="1">
      <c r="H640" s="440"/>
      <c r="U640" s="441"/>
      <c r="V640" s="441"/>
      <c r="W640" s="441"/>
      <c r="X640" s="441"/>
      <c r="Y640" s="442"/>
      <c r="Z640" s="165"/>
      <c r="AA640" s="165"/>
      <c r="AB640" s="165"/>
      <c r="AC640" s="165"/>
      <c r="AD640" s="165"/>
      <c r="AE640" s="165"/>
      <c r="AF640" s="165"/>
      <c r="AG640" s="165"/>
      <c r="AH640" s="165"/>
      <c r="AI640" s="165"/>
      <c r="AJ640" s="165"/>
      <c r="AK640" s="165"/>
      <c r="AL640" s="165"/>
      <c r="AM640" s="165"/>
      <c r="AN640" s="165"/>
      <c r="AO640" s="165"/>
      <c r="AP640" s="165"/>
      <c r="AQ640" s="165"/>
    </row>
    <row r="641" ht="15.75" customHeight="1">
      <c r="H641" s="440"/>
      <c r="U641" s="441"/>
      <c r="V641" s="441"/>
      <c r="W641" s="441"/>
      <c r="X641" s="441"/>
      <c r="Y641" s="442"/>
      <c r="Z641" s="165"/>
      <c r="AA641" s="165"/>
      <c r="AB641" s="165"/>
      <c r="AC641" s="165"/>
      <c r="AD641" s="165"/>
      <c r="AE641" s="165"/>
      <c r="AF641" s="165"/>
      <c r="AG641" s="165"/>
      <c r="AH641" s="165"/>
      <c r="AI641" s="165"/>
      <c r="AJ641" s="165"/>
      <c r="AK641" s="165"/>
      <c r="AL641" s="165"/>
      <c r="AM641" s="165"/>
      <c r="AN641" s="165"/>
      <c r="AO641" s="165"/>
      <c r="AP641" s="165"/>
      <c r="AQ641" s="165"/>
    </row>
    <row r="642" ht="15.75" customHeight="1">
      <c r="H642" s="440"/>
      <c r="U642" s="441"/>
      <c r="V642" s="441"/>
      <c r="W642" s="441"/>
      <c r="X642" s="441"/>
      <c r="Y642" s="442"/>
      <c r="Z642" s="165"/>
      <c r="AA642" s="165"/>
      <c r="AB642" s="165"/>
      <c r="AC642" s="165"/>
      <c r="AD642" s="165"/>
      <c r="AE642" s="165"/>
      <c r="AF642" s="165"/>
      <c r="AG642" s="165"/>
      <c r="AH642" s="165"/>
      <c r="AI642" s="165"/>
      <c r="AJ642" s="165"/>
      <c r="AK642" s="165"/>
      <c r="AL642" s="165"/>
      <c r="AM642" s="165"/>
      <c r="AN642" s="165"/>
      <c r="AO642" s="165"/>
      <c r="AP642" s="165"/>
      <c r="AQ642" s="165"/>
    </row>
    <row r="643" ht="15.75" customHeight="1">
      <c r="H643" s="440"/>
      <c r="U643" s="441"/>
      <c r="V643" s="441"/>
      <c r="W643" s="441"/>
      <c r="X643" s="441"/>
      <c r="Y643" s="442"/>
      <c r="Z643" s="165"/>
      <c r="AA643" s="165"/>
      <c r="AB643" s="165"/>
      <c r="AC643" s="165"/>
      <c r="AD643" s="165"/>
      <c r="AE643" s="165"/>
      <c r="AF643" s="165"/>
      <c r="AG643" s="165"/>
      <c r="AH643" s="165"/>
      <c r="AI643" s="165"/>
      <c r="AJ643" s="165"/>
      <c r="AK643" s="165"/>
      <c r="AL643" s="165"/>
      <c r="AM643" s="165"/>
      <c r="AN643" s="165"/>
      <c r="AO643" s="165"/>
      <c r="AP643" s="165"/>
      <c r="AQ643" s="165"/>
    </row>
    <row r="644" ht="15.75" customHeight="1">
      <c r="H644" s="440"/>
      <c r="U644" s="441"/>
      <c r="V644" s="441"/>
      <c r="W644" s="441"/>
      <c r="X644" s="441"/>
      <c r="Y644" s="442"/>
      <c r="Z644" s="165"/>
      <c r="AA644" s="165"/>
      <c r="AB644" s="165"/>
      <c r="AC644" s="165"/>
      <c r="AD644" s="165"/>
      <c r="AE644" s="165"/>
      <c r="AF644" s="165"/>
      <c r="AG644" s="165"/>
      <c r="AH644" s="165"/>
      <c r="AI644" s="165"/>
      <c r="AJ644" s="165"/>
      <c r="AK644" s="165"/>
      <c r="AL644" s="165"/>
      <c r="AM644" s="165"/>
      <c r="AN644" s="165"/>
      <c r="AO644" s="165"/>
      <c r="AP644" s="165"/>
      <c r="AQ644" s="165"/>
    </row>
    <row r="645" ht="15.75" customHeight="1">
      <c r="H645" s="440"/>
      <c r="U645" s="441"/>
      <c r="V645" s="441"/>
      <c r="W645" s="441"/>
      <c r="X645" s="441"/>
      <c r="Y645" s="442"/>
      <c r="Z645" s="165"/>
      <c r="AA645" s="165"/>
      <c r="AB645" s="165"/>
      <c r="AC645" s="165"/>
      <c r="AD645" s="165"/>
      <c r="AE645" s="165"/>
      <c r="AF645" s="165"/>
      <c r="AG645" s="165"/>
      <c r="AH645" s="165"/>
      <c r="AI645" s="165"/>
      <c r="AJ645" s="165"/>
      <c r="AK645" s="165"/>
      <c r="AL645" s="165"/>
      <c r="AM645" s="165"/>
      <c r="AN645" s="165"/>
      <c r="AO645" s="165"/>
      <c r="AP645" s="165"/>
      <c r="AQ645" s="165"/>
    </row>
    <row r="646" ht="15.75" customHeight="1">
      <c r="H646" s="440"/>
      <c r="U646" s="441"/>
      <c r="V646" s="441"/>
      <c r="W646" s="441"/>
      <c r="X646" s="441"/>
      <c r="Y646" s="442"/>
      <c r="Z646" s="165"/>
      <c r="AA646" s="165"/>
      <c r="AB646" s="165"/>
      <c r="AC646" s="165"/>
      <c r="AD646" s="165"/>
      <c r="AE646" s="165"/>
      <c r="AF646" s="165"/>
      <c r="AG646" s="165"/>
      <c r="AH646" s="165"/>
      <c r="AI646" s="165"/>
      <c r="AJ646" s="165"/>
      <c r="AK646" s="165"/>
      <c r="AL646" s="165"/>
      <c r="AM646" s="165"/>
      <c r="AN646" s="165"/>
      <c r="AO646" s="165"/>
      <c r="AP646" s="165"/>
      <c r="AQ646" s="165"/>
    </row>
    <row r="647" ht="15.75" customHeight="1">
      <c r="H647" s="440"/>
      <c r="U647" s="441"/>
      <c r="V647" s="441"/>
      <c r="W647" s="441"/>
      <c r="X647" s="441"/>
      <c r="Y647" s="442"/>
      <c r="Z647" s="165"/>
      <c r="AA647" s="165"/>
      <c r="AB647" s="165"/>
      <c r="AC647" s="165"/>
      <c r="AD647" s="165"/>
      <c r="AE647" s="165"/>
      <c r="AF647" s="165"/>
      <c r="AG647" s="165"/>
      <c r="AH647" s="165"/>
      <c r="AI647" s="165"/>
      <c r="AJ647" s="165"/>
      <c r="AK647" s="165"/>
      <c r="AL647" s="165"/>
      <c r="AM647" s="165"/>
      <c r="AN647" s="165"/>
      <c r="AO647" s="165"/>
      <c r="AP647" s="165"/>
      <c r="AQ647" s="165"/>
    </row>
    <row r="648" ht="15.75" customHeight="1">
      <c r="H648" s="440"/>
      <c r="U648" s="441"/>
      <c r="V648" s="441"/>
      <c r="W648" s="441"/>
      <c r="X648" s="441"/>
      <c r="Y648" s="442"/>
      <c r="Z648" s="165"/>
      <c r="AA648" s="165"/>
      <c r="AB648" s="165"/>
      <c r="AC648" s="165"/>
      <c r="AD648" s="165"/>
      <c r="AE648" s="165"/>
      <c r="AF648" s="165"/>
      <c r="AG648" s="165"/>
      <c r="AH648" s="165"/>
      <c r="AI648" s="165"/>
      <c r="AJ648" s="165"/>
      <c r="AK648" s="165"/>
      <c r="AL648" s="165"/>
      <c r="AM648" s="165"/>
      <c r="AN648" s="165"/>
      <c r="AO648" s="165"/>
      <c r="AP648" s="165"/>
      <c r="AQ648" s="165"/>
    </row>
    <row r="649" ht="15.75" customHeight="1">
      <c r="H649" s="440"/>
      <c r="U649" s="441"/>
      <c r="V649" s="441"/>
      <c r="W649" s="441"/>
      <c r="X649" s="441"/>
      <c r="Y649" s="442"/>
      <c r="Z649" s="165"/>
      <c r="AA649" s="165"/>
      <c r="AB649" s="165"/>
      <c r="AC649" s="165"/>
      <c r="AD649" s="165"/>
      <c r="AE649" s="165"/>
      <c r="AF649" s="165"/>
      <c r="AG649" s="165"/>
      <c r="AH649" s="165"/>
      <c r="AI649" s="165"/>
      <c r="AJ649" s="165"/>
      <c r="AK649" s="165"/>
      <c r="AL649" s="165"/>
      <c r="AM649" s="165"/>
      <c r="AN649" s="165"/>
      <c r="AO649" s="165"/>
      <c r="AP649" s="165"/>
      <c r="AQ649" s="165"/>
    </row>
    <row r="650" ht="15.75" customHeight="1">
      <c r="H650" s="440"/>
      <c r="U650" s="441"/>
      <c r="V650" s="441"/>
      <c r="W650" s="441"/>
      <c r="X650" s="441"/>
      <c r="Y650" s="442"/>
      <c r="Z650" s="165"/>
      <c r="AA650" s="165"/>
      <c r="AB650" s="165"/>
      <c r="AC650" s="165"/>
      <c r="AD650" s="165"/>
      <c r="AE650" s="165"/>
      <c r="AF650" s="165"/>
      <c r="AG650" s="165"/>
      <c r="AH650" s="165"/>
      <c r="AI650" s="165"/>
      <c r="AJ650" s="165"/>
      <c r="AK650" s="165"/>
      <c r="AL650" s="165"/>
      <c r="AM650" s="165"/>
      <c r="AN650" s="165"/>
      <c r="AO650" s="165"/>
      <c r="AP650" s="165"/>
      <c r="AQ650" s="165"/>
    </row>
    <row r="651" ht="15.75" customHeight="1">
      <c r="H651" s="440"/>
      <c r="U651" s="441"/>
      <c r="V651" s="441"/>
      <c r="W651" s="441"/>
      <c r="X651" s="441"/>
      <c r="Y651" s="442"/>
      <c r="Z651" s="165"/>
      <c r="AA651" s="165"/>
      <c r="AB651" s="165"/>
      <c r="AC651" s="165"/>
      <c r="AD651" s="165"/>
      <c r="AE651" s="165"/>
      <c r="AF651" s="165"/>
      <c r="AG651" s="165"/>
      <c r="AH651" s="165"/>
      <c r="AI651" s="165"/>
      <c r="AJ651" s="165"/>
      <c r="AK651" s="165"/>
      <c r="AL651" s="165"/>
      <c r="AM651" s="165"/>
      <c r="AN651" s="165"/>
      <c r="AO651" s="165"/>
      <c r="AP651" s="165"/>
      <c r="AQ651" s="165"/>
    </row>
    <row r="652" ht="15.75" customHeight="1">
      <c r="H652" s="440"/>
      <c r="U652" s="441"/>
      <c r="V652" s="441"/>
      <c r="W652" s="441"/>
      <c r="X652" s="441"/>
      <c r="Y652" s="442"/>
      <c r="Z652" s="165"/>
      <c r="AA652" s="165"/>
      <c r="AB652" s="165"/>
      <c r="AC652" s="165"/>
      <c r="AD652" s="165"/>
      <c r="AE652" s="165"/>
      <c r="AF652" s="165"/>
      <c r="AG652" s="165"/>
      <c r="AH652" s="165"/>
      <c r="AI652" s="165"/>
      <c r="AJ652" s="165"/>
      <c r="AK652" s="165"/>
      <c r="AL652" s="165"/>
      <c r="AM652" s="165"/>
      <c r="AN652" s="165"/>
      <c r="AO652" s="165"/>
      <c r="AP652" s="165"/>
      <c r="AQ652" s="165"/>
    </row>
    <row r="653" ht="15.75" customHeight="1">
      <c r="H653" s="440"/>
      <c r="U653" s="441"/>
      <c r="V653" s="441"/>
      <c r="W653" s="441"/>
      <c r="X653" s="441"/>
      <c r="Y653" s="442"/>
      <c r="Z653" s="165"/>
      <c r="AA653" s="165"/>
      <c r="AB653" s="165"/>
      <c r="AC653" s="165"/>
      <c r="AD653" s="165"/>
      <c r="AE653" s="165"/>
      <c r="AF653" s="165"/>
      <c r="AG653" s="165"/>
      <c r="AH653" s="165"/>
      <c r="AI653" s="165"/>
      <c r="AJ653" s="165"/>
      <c r="AK653" s="165"/>
      <c r="AL653" s="165"/>
      <c r="AM653" s="165"/>
      <c r="AN653" s="165"/>
      <c r="AO653" s="165"/>
      <c r="AP653" s="165"/>
      <c r="AQ653" s="165"/>
    </row>
    <row r="654" ht="15.75" customHeight="1">
      <c r="H654" s="440"/>
      <c r="U654" s="441"/>
      <c r="V654" s="441"/>
      <c r="W654" s="441"/>
      <c r="X654" s="441"/>
      <c r="Y654" s="442"/>
      <c r="Z654" s="165"/>
      <c r="AA654" s="165"/>
      <c r="AB654" s="165"/>
      <c r="AC654" s="165"/>
      <c r="AD654" s="165"/>
      <c r="AE654" s="165"/>
      <c r="AF654" s="165"/>
      <c r="AG654" s="165"/>
      <c r="AH654" s="165"/>
      <c r="AI654" s="165"/>
      <c r="AJ654" s="165"/>
      <c r="AK654" s="165"/>
      <c r="AL654" s="165"/>
      <c r="AM654" s="165"/>
      <c r="AN654" s="165"/>
      <c r="AO654" s="165"/>
      <c r="AP654" s="165"/>
      <c r="AQ654" s="165"/>
    </row>
    <row r="655" ht="15.75" customHeight="1">
      <c r="H655" s="440"/>
      <c r="U655" s="441"/>
      <c r="V655" s="441"/>
      <c r="W655" s="441"/>
      <c r="X655" s="441"/>
      <c r="Y655" s="442"/>
      <c r="Z655" s="165"/>
      <c r="AA655" s="165"/>
      <c r="AB655" s="165"/>
      <c r="AC655" s="165"/>
      <c r="AD655" s="165"/>
      <c r="AE655" s="165"/>
      <c r="AF655" s="165"/>
      <c r="AG655" s="165"/>
      <c r="AH655" s="165"/>
      <c r="AI655" s="165"/>
      <c r="AJ655" s="165"/>
      <c r="AK655" s="165"/>
      <c r="AL655" s="165"/>
      <c r="AM655" s="165"/>
      <c r="AN655" s="165"/>
      <c r="AO655" s="165"/>
      <c r="AP655" s="165"/>
      <c r="AQ655" s="165"/>
    </row>
    <row r="656" ht="15.75" customHeight="1">
      <c r="H656" s="440"/>
      <c r="U656" s="441"/>
      <c r="V656" s="441"/>
      <c r="W656" s="441"/>
      <c r="X656" s="441"/>
      <c r="Y656" s="442"/>
      <c r="Z656" s="165"/>
      <c r="AA656" s="165"/>
      <c r="AB656" s="165"/>
      <c r="AC656" s="165"/>
      <c r="AD656" s="165"/>
      <c r="AE656" s="165"/>
      <c r="AF656" s="165"/>
      <c r="AG656" s="165"/>
      <c r="AH656" s="165"/>
      <c r="AI656" s="165"/>
      <c r="AJ656" s="165"/>
      <c r="AK656" s="165"/>
      <c r="AL656" s="165"/>
      <c r="AM656" s="165"/>
      <c r="AN656" s="165"/>
      <c r="AO656" s="165"/>
      <c r="AP656" s="165"/>
      <c r="AQ656" s="165"/>
    </row>
    <row r="657" ht="15.75" customHeight="1">
      <c r="H657" s="440"/>
      <c r="U657" s="441"/>
      <c r="V657" s="441"/>
      <c r="W657" s="441"/>
      <c r="X657" s="441"/>
      <c r="Y657" s="442"/>
      <c r="Z657" s="165"/>
      <c r="AA657" s="165"/>
      <c r="AB657" s="165"/>
      <c r="AC657" s="165"/>
      <c r="AD657" s="165"/>
      <c r="AE657" s="165"/>
      <c r="AF657" s="165"/>
      <c r="AG657" s="165"/>
      <c r="AH657" s="165"/>
      <c r="AI657" s="165"/>
      <c r="AJ657" s="165"/>
      <c r="AK657" s="165"/>
      <c r="AL657" s="165"/>
      <c r="AM657" s="165"/>
      <c r="AN657" s="165"/>
      <c r="AO657" s="165"/>
      <c r="AP657" s="165"/>
      <c r="AQ657" s="165"/>
    </row>
    <row r="658" ht="15.75" customHeight="1">
      <c r="H658" s="440"/>
      <c r="U658" s="441"/>
      <c r="V658" s="441"/>
      <c r="W658" s="441"/>
      <c r="X658" s="441"/>
      <c r="Y658" s="442"/>
      <c r="Z658" s="165"/>
      <c r="AA658" s="165"/>
      <c r="AB658" s="165"/>
      <c r="AC658" s="165"/>
      <c r="AD658" s="165"/>
      <c r="AE658" s="165"/>
      <c r="AF658" s="165"/>
      <c r="AG658" s="165"/>
      <c r="AH658" s="165"/>
      <c r="AI658" s="165"/>
      <c r="AJ658" s="165"/>
      <c r="AK658" s="165"/>
      <c r="AL658" s="165"/>
      <c r="AM658" s="165"/>
      <c r="AN658" s="165"/>
      <c r="AO658" s="165"/>
      <c r="AP658" s="165"/>
      <c r="AQ658" s="165"/>
    </row>
    <row r="659" ht="15.75" customHeight="1">
      <c r="H659" s="440"/>
      <c r="U659" s="441"/>
      <c r="V659" s="441"/>
      <c r="W659" s="441"/>
      <c r="X659" s="441"/>
      <c r="Y659" s="442"/>
      <c r="Z659" s="165"/>
      <c r="AA659" s="165"/>
      <c r="AB659" s="165"/>
      <c r="AC659" s="165"/>
      <c r="AD659" s="165"/>
      <c r="AE659" s="165"/>
      <c r="AF659" s="165"/>
      <c r="AG659" s="165"/>
      <c r="AH659" s="165"/>
      <c r="AI659" s="165"/>
      <c r="AJ659" s="165"/>
      <c r="AK659" s="165"/>
      <c r="AL659" s="165"/>
      <c r="AM659" s="165"/>
      <c r="AN659" s="165"/>
      <c r="AO659" s="165"/>
      <c r="AP659" s="165"/>
      <c r="AQ659" s="165"/>
    </row>
    <row r="660" ht="15.75" customHeight="1">
      <c r="H660" s="440"/>
      <c r="U660" s="441"/>
      <c r="V660" s="441"/>
      <c r="W660" s="441"/>
      <c r="X660" s="441"/>
      <c r="Y660" s="442"/>
      <c r="Z660" s="165"/>
      <c r="AA660" s="165"/>
      <c r="AB660" s="165"/>
      <c r="AC660" s="165"/>
      <c r="AD660" s="165"/>
      <c r="AE660" s="165"/>
      <c r="AF660" s="165"/>
      <c r="AG660" s="165"/>
      <c r="AH660" s="165"/>
      <c r="AI660" s="165"/>
      <c r="AJ660" s="165"/>
      <c r="AK660" s="165"/>
      <c r="AL660" s="165"/>
      <c r="AM660" s="165"/>
      <c r="AN660" s="165"/>
      <c r="AO660" s="165"/>
      <c r="AP660" s="165"/>
      <c r="AQ660" s="165"/>
    </row>
    <row r="661" ht="15.75" customHeight="1">
      <c r="H661" s="440"/>
      <c r="U661" s="441"/>
      <c r="V661" s="441"/>
      <c r="W661" s="441"/>
      <c r="X661" s="441"/>
      <c r="Y661" s="442"/>
      <c r="Z661" s="165"/>
      <c r="AA661" s="165"/>
      <c r="AB661" s="165"/>
      <c r="AC661" s="165"/>
      <c r="AD661" s="165"/>
      <c r="AE661" s="165"/>
      <c r="AF661" s="165"/>
      <c r="AG661" s="165"/>
      <c r="AH661" s="165"/>
      <c r="AI661" s="165"/>
      <c r="AJ661" s="165"/>
      <c r="AK661" s="165"/>
      <c r="AL661" s="165"/>
      <c r="AM661" s="165"/>
      <c r="AN661" s="165"/>
      <c r="AO661" s="165"/>
      <c r="AP661" s="165"/>
      <c r="AQ661" s="165"/>
    </row>
    <row r="662" ht="15.75" customHeight="1">
      <c r="H662" s="440"/>
      <c r="U662" s="441"/>
      <c r="V662" s="441"/>
      <c r="W662" s="441"/>
      <c r="X662" s="441"/>
      <c r="Y662" s="442"/>
      <c r="Z662" s="165"/>
      <c r="AA662" s="165"/>
      <c r="AB662" s="165"/>
      <c r="AC662" s="165"/>
      <c r="AD662" s="165"/>
      <c r="AE662" s="165"/>
      <c r="AF662" s="165"/>
      <c r="AG662" s="165"/>
      <c r="AH662" s="165"/>
      <c r="AI662" s="165"/>
      <c r="AJ662" s="165"/>
      <c r="AK662" s="165"/>
      <c r="AL662" s="165"/>
      <c r="AM662" s="165"/>
      <c r="AN662" s="165"/>
      <c r="AO662" s="165"/>
      <c r="AP662" s="165"/>
      <c r="AQ662" s="165"/>
    </row>
    <row r="663" ht="15.75" customHeight="1">
      <c r="H663" s="440"/>
      <c r="U663" s="441"/>
      <c r="V663" s="441"/>
      <c r="W663" s="441"/>
      <c r="X663" s="441"/>
      <c r="Y663" s="442"/>
      <c r="Z663" s="165"/>
      <c r="AA663" s="165"/>
      <c r="AB663" s="165"/>
      <c r="AC663" s="165"/>
      <c r="AD663" s="165"/>
      <c r="AE663" s="165"/>
      <c r="AF663" s="165"/>
      <c r="AG663" s="165"/>
      <c r="AH663" s="165"/>
      <c r="AI663" s="165"/>
      <c r="AJ663" s="165"/>
      <c r="AK663" s="165"/>
      <c r="AL663" s="165"/>
      <c r="AM663" s="165"/>
      <c r="AN663" s="165"/>
      <c r="AO663" s="165"/>
      <c r="AP663" s="165"/>
      <c r="AQ663" s="165"/>
    </row>
    <row r="664" ht="15.75" customHeight="1">
      <c r="H664" s="440"/>
      <c r="U664" s="441"/>
      <c r="V664" s="441"/>
      <c r="W664" s="441"/>
      <c r="X664" s="441"/>
      <c r="Y664" s="442"/>
      <c r="Z664" s="165"/>
      <c r="AA664" s="165"/>
      <c r="AB664" s="165"/>
      <c r="AC664" s="165"/>
      <c r="AD664" s="165"/>
      <c r="AE664" s="165"/>
      <c r="AF664" s="165"/>
      <c r="AG664" s="165"/>
      <c r="AH664" s="165"/>
      <c r="AI664" s="165"/>
      <c r="AJ664" s="165"/>
      <c r="AK664" s="165"/>
      <c r="AL664" s="165"/>
      <c r="AM664" s="165"/>
      <c r="AN664" s="165"/>
      <c r="AO664" s="165"/>
      <c r="AP664" s="165"/>
      <c r="AQ664" s="165"/>
    </row>
    <row r="665" ht="15.75" customHeight="1">
      <c r="H665" s="440"/>
      <c r="U665" s="441"/>
      <c r="V665" s="441"/>
      <c r="W665" s="441"/>
      <c r="X665" s="441"/>
      <c r="Y665" s="442"/>
      <c r="Z665" s="165"/>
      <c r="AA665" s="165"/>
      <c r="AB665" s="165"/>
      <c r="AC665" s="165"/>
      <c r="AD665" s="165"/>
      <c r="AE665" s="165"/>
      <c r="AF665" s="165"/>
      <c r="AG665" s="165"/>
      <c r="AH665" s="165"/>
      <c r="AI665" s="165"/>
      <c r="AJ665" s="165"/>
      <c r="AK665" s="165"/>
      <c r="AL665" s="165"/>
      <c r="AM665" s="165"/>
      <c r="AN665" s="165"/>
      <c r="AO665" s="165"/>
      <c r="AP665" s="165"/>
      <c r="AQ665" s="165"/>
    </row>
    <row r="666" ht="15.75" customHeight="1">
      <c r="H666" s="440"/>
      <c r="U666" s="441"/>
      <c r="V666" s="441"/>
      <c r="W666" s="441"/>
      <c r="X666" s="441"/>
      <c r="Y666" s="442"/>
      <c r="Z666" s="165"/>
      <c r="AA666" s="165"/>
      <c r="AB666" s="165"/>
      <c r="AC666" s="165"/>
      <c r="AD666" s="165"/>
      <c r="AE666" s="165"/>
      <c r="AF666" s="165"/>
      <c r="AG666" s="165"/>
      <c r="AH666" s="165"/>
      <c r="AI666" s="165"/>
      <c r="AJ666" s="165"/>
      <c r="AK666" s="165"/>
      <c r="AL666" s="165"/>
      <c r="AM666" s="165"/>
      <c r="AN666" s="165"/>
      <c r="AO666" s="165"/>
      <c r="AP666" s="165"/>
      <c r="AQ666" s="165"/>
    </row>
    <row r="667" ht="15.75" customHeight="1">
      <c r="H667" s="440"/>
      <c r="U667" s="441"/>
      <c r="V667" s="441"/>
      <c r="W667" s="441"/>
      <c r="X667" s="441"/>
      <c r="Y667" s="442"/>
      <c r="Z667" s="165"/>
      <c r="AA667" s="165"/>
      <c r="AB667" s="165"/>
      <c r="AC667" s="165"/>
      <c r="AD667" s="165"/>
      <c r="AE667" s="165"/>
      <c r="AF667" s="165"/>
      <c r="AG667" s="165"/>
      <c r="AH667" s="165"/>
      <c r="AI667" s="165"/>
      <c r="AJ667" s="165"/>
      <c r="AK667" s="165"/>
      <c r="AL667" s="165"/>
      <c r="AM667" s="165"/>
      <c r="AN667" s="165"/>
      <c r="AO667" s="165"/>
      <c r="AP667" s="165"/>
      <c r="AQ667" s="165"/>
    </row>
    <row r="668" ht="15.75" customHeight="1">
      <c r="H668" s="440"/>
      <c r="U668" s="441"/>
      <c r="V668" s="441"/>
      <c r="W668" s="441"/>
      <c r="X668" s="441"/>
      <c r="Y668" s="442"/>
      <c r="Z668" s="165"/>
      <c r="AA668" s="165"/>
      <c r="AB668" s="165"/>
      <c r="AC668" s="165"/>
      <c r="AD668" s="165"/>
      <c r="AE668" s="165"/>
      <c r="AF668" s="165"/>
      <c r="AG668" s="165"/>
      <c r="AH668" s="165"/>
      <c r="AI668" s="165"/>
      <c r="AJ668" s="165"/>
      <c r="AK668" s="165"/>
      <c r="AL668" s="165"/>
      <c r="AM668" s="165"/>
      <c r="AN668" s="165"/>
      <c r="AO668" s="165"/>
      <c r="AP668" s="165"/>
      <c r="AQ668" s="165"/>
    </row>
    <row r="669" ht="15.75" customHeight="1">
      <c r="H669" s="440"/>
      <c r="U669" s="441"/>
      <c r="V669" s="441"/>
      <c r="W669" s="441"/>
      <c r="X669" s="441"/>
      <c r="Y669" s="442"/>
      <c r="Z669" s="165"/>
      <c r="AA669" s="165"/>
      <c r="AB669" s="165"/>
      <c r="AC669" s="165"/>
      <c r="AD669" s="165"/>
      <c r="AE669" s="165"/>
      <c r="AF669" s="165"/>
      <c r="AG669" s="165"/>
      <c r="AH669" s="165"/>
      <c r="AI669" s="165"/>
      <c r="AJ669" s="165"/>
      <c r="AK669" s="165"/>
      <c r="AL669" s="165"/>
      <c r="AM669" s="165"/>
      <c r="AN669" s="165"/>
      <c r="AO669" s="165"/>
      <c r="AP669" s="165"/>
      <c r="AQ669" s="165"/>
    </row>
    <row r="670" ht="15.75" customHeight="1">
      <c r="H670" s="440"/>
      <c r="U670" s="441"/>
      <c r="V670" s="441"/>
      <c r="W670" s="441"/>
      <c r="X670" s="441"/>
      <c r="Y670" s="442"/>
      <c r="Z670" s="165"/>
      <c r="AA670" s="165"/>
      <c r="AB670" s="165"/>
      <c r="AC670" s="165"/>
      <c r="AD670" s="165"/>
      <c r="AE670" s="165"/>
      <c r="AF670" s="165"/>
      <c r="AG670" s="165"/>
      <c r="AH670" s="165"/>
      <c r="AI670" s="165"/>
      <c r="AJ670" s="165"/>
      <c r="AK670" s="165"/>
      <c r="AL670" s="165"/>
      <c r="AM670" s="165"/>
      <c r="AN670" s="165"/>
      <c r="AO670" s="165"/>
      <c r="AP670" s="165"/>
      <c r="AQ670" s="165"/>
    </row>
    <row r="671" ht="15.75" customHeight="1">
      <c r="H671" s="440"/>
      <c r="U671" s="441"/>
      <c r="V671" s="441"/>
      <c r="W671" s="441"/>
      <c r="X671" s="441"/>
      <c r="Y671" s="442"/>
      <c r="Z671" s="165"/>
      <c r="AA671" s="165"/>
      <c r="AB671" s="165"/>
      <c r="AC671" s="165"/>
      <c r="AD671" s="165"/>
      <c r="AE671" s="165"/>
      <c r="AF671" s="165"/>
      <c r="AG671" s="165"/>
      <c r="AH671" s="165"/>
      <c r="AI671" s="165"/>
      <c r="AJ671" s="165"/>
      <c r="AK671" s="165"/>
      <c r="AL671" s="165"/>
      <c r="AM671" s="165"/>
      <c r="AN671" s="165"/>
      <c r="AO671" s="165"/>
      <c r="AP671" s="165"/>
      <c r="AQ671" s="165"/>
    </row>
    <row r="672" ht="15.75" customHeight="1">
      <c r="H672" s="440"/>
      <c r="U672" s="441"/>
      <c r="V672" s="441"/>
      <c r="W672" s="441"/>
      <c r="X672" s="441"/>
      <c r="Y672" s="442"/>
      <c r="Z672" s="165"/>
      <c r="AA672" s="165"/>
      <c r="AB672" s="165"/>
      <c r="AC672" s="165"/>
      <c r="AD672" s="165"/>
      <c r="AE672" s="165"/>
      <c r="AF672" s="165"/>
      <c r="AG672" s="165"/>
      <c r="AH672" s="165"/>
      <c r="AI672" s="165"/>
      <c r="AJ672" s="165"/>
      <c r="AK672" s="165"/>
      <c r="AL672" s="165"/>
      <c r="AM672" s="165"/>
      <c r="AN672" s="165"/>
      <c r="AO672" s="165"/>
      <c r="AP672" s="165"/>
      <c r="AQ672" s="165"/>
    </row>
    <row r="673" ht="15.75" customHeight="1">
      <c r="H673" s="440"/>
      <c r="U673" s="441"/>
      <c r="V673" s="441"/>
      <c r="W673" s="441"/>
      <c r="X673" s="441"/>
      <c r="Y673" s="442"/>
      <c r="Z673" s="165"/>
      <c r="AA673" s="165"/>
      <c r="AB673" s="165"/>
      <c r="AC673" s="165"/>
      <c r="AD673" s="165"/>
      <c r="AE673" s="165"/>
      <c r="AF673" s="165"/>
      <c r="AG673" s="165"/>
      <c r="AH673" s="165"/>
      <c r="AI673" s="165"/>
      <c r="AJ673" s="165"/>
      <c r="AK673" s="165"/>
      <c r="AL673" s="165"/>
      <c r="AM673" s="165"/>
      <c r="AN673" s="165"/>
      <c r="AO673" s="165"/>
      <c r="AP673" s="165"/>
      <c r="AQ673" s="165"/>
    </row>
    <row r="674" ht="15.75" customHeight="1">
      <c r="H674" s="440"/>
      <c r="U674" s="441"/>
      <c r="V674" s="441"/>
      <c r="W674" s="441"/>
      <c r="X674" s="441"/>
      <c r="Y674" s="442"/>
      <c r="Z674" s="165"/>
      <c r="AA674" s="165"/>
      <c r="AB674" s="165"/>
      <c r="AC674" s="165"/>
      <c r="AD674" s="165"/>
      <c r="AE674" s="165"/>
      <c r="AF674" s="165"/>
      <c r="AG674" s="165"/>
      <c r="AH674" s="165"/>
      <c r="AI674" s="165"/>
      <c r="AJ674" s="165"/>
      <c r="AK674" s="165"/>
      <c r="AL674" s="165"/>
      <c r="AM674" s="165"/>
      <c r="AN674" s="165"/>
      <c r="AO674" s="165"/>
      <c r="AP674" s="165"/>
      <c r="AQ674" s="165"/>
    </row>
    <row r="675" ht="15.75" customHeight="1">
      <c r="H675" s="440"/>
      <c r="U675" s="441"/>
      <c r="V675" s="441"/>
      <c r="W675" s="441"/>
      <c r="X675" s="441"/>
      <c r="Y675" s="442"/>
      <c r="Z675" s="165"/>
      <c r="AA675" s="165"/>
      <c r="AB675" s="165"/>
      <c r="AC675" s="165"/>
      <c r="AD675" s="165"/>
      <c r="AE675" s="165"/>
      <c r="AF675" s="165"/>
      <c r="AG675" s="165"/>
      <c r="AH675" s="165"/>
      <c r="AI675" s="165"/>
      <c r="AJ675" s="165"/>
      <c r="AK675" s="165"/>
      <c r="AL675" s="165"/>
      <c r="AM675" s="165"/>
      <c r="AN675" s="165"/>
      <c r="AO675" s="165"/>
      <c r="AP675" s="165"/>
      <c r="AQ675" s="165"/>
    </row>
    <row r="676" ht="15.75" customHeight="1">
      <c r="H676" s="440"/>
      <c r="U676" s="441"/>
      <c r="V676" s="441"/>
      <c r="W676" s="441"/>
      <c r="X676" s="441"/>
      <c r="Y676" s="442"/>
      <c r="Z676" s="165"/>
      <c r="AA676" s="165"/>
      <c r="AB676" s="165"/>
      <c r="AC676" s="165"/>
      <c r="AD676" s="165"/>
      <c r="AE676" s="165"/>
      <c r="AF676" s="165"/>
      <c r="AG676" s="165"/>
      <c r="AH676" s="165"/>
      <c r="AI676" s="165"/>
      <c r="AJ676" s="165"/>
      <c r="AK676" s="165"/>
      <c r="AL676" s="165"/>
      <c r="AM676" s="165"/>
      <c r="AN676" s="165"/>
      <c r="AO676" s="165"/>
      <c r="AP676" s="165"/>
      <c r="AQ676" s="165"/>
    </row>
    <row r="677" ht="15.75" customHeight="1">
      <c r="H677" s="440"/>
      <c r="U677" s="441"/>
      <c r="V677" s="441"/>
      <c r="W677" s="441"/>
      <c r="X677" s="441"/>
      <c r="Y677" s="442"/>
      <c r="Z677" s="165"/>
      <c r="AA677" s="165"/>
      <c r="AB677" s="165"/>
      <c r="AC677" s="165"/>
      <c r="AD677" s="165"/>
      <c r="AE677" s="165"/>
      <c r="AF677" s="165"/>
      <c r="AG677" s="165"/>
      <c r="AH677" s="165"/>
      <c r="AI677" s="165"/>
      <c r="AJ677" s="165"/>
      <c r="AK677" s="165"/>
      <c r="AL677" s="165"/>
      <c r="AM677" s="165"/>
      <c r="AN677" s="165"/>
      <c r="AO677" s="165"/>
      <c r="AP677" s="165"/>
      <c r="AQ677" s="165"/>
    </row>
    <row r="678" ht="15.75" customHeight="1">
      <c r="H678" s="440"/>
      <c r="U678" s="441"/>
      <c r="V678" s="441"/>
      <c r="W678" s="441"/>
      <c r="X678" s="441"/>
      <c r="Y678" s="442"/>
      <c r="Z678" s="165"/>
      <c r="AA678" s="165"/>
      <c r="AB678" s="165"/>
      <c r="AC678" s="165"/>
      <c r="AD678" s="165"/>
      <c r="AE678" s="165"/>
      <c r="AF678" s="165"/>
      <c r="AG678" s="165"/>
      <c r="AH678" s="165"/>
      <c r="AI678" s="165"/>
      <c r="AJ678" s="165"/>
      <c r="AK678" s="165"/>
      <c r="AL678" s="165"/>
      <c r="AM678" s="165"/>
      <c r="AN678" s="165"/>
      <c r="AO678" s="165"/>
      <c r="AP678" s="165"/>
      <c r="AQ678" s="165"/>
    </row>
    <row r="679" ht="15.75" customHeight="1">
      <c r="H679" s="440"/>
      <c r="U679" s="441"/>
      <c r="V679" s="441"/>
      <c r="W679" s="441"/>
      <c r="X679" s="441"/>
      <c r="Y679" s="442"/>
      <c r="Z679" s="165"/>
      <c r="AA679" s="165"/>
      <c r="AB679" s="165"/>
      <c r="AC679" s="165"/>
      <c r="AD679" s="165"/>
      <c r="AE679" s="165"/>
      <c r="AF679" s="165"/>
      <c r="AG679" s="165"/>
      <c r="AH679" s="165"/>
      <c r="AI679" s="165"/>
      <c r="AJ679" s="165"/>
      <c r="AK679" s="165"/>
      <c r="AL679" s="165"/>
      <c r="AM679" s="165"/>
      <c r="AN679" s="165"/>
      <c r="AO679" s="165"/>
      <c r="AP679" s="165"/>
      <c r="AQ679" s="165"/>
    </row>
    <row r="680" ht="15.75" customHeight="1">
      <c r="H680" s="440"/>
      <c r="U680" s="441"/>
      <c r="V680" s="441"/>
      <c r="W680" s="441"/>
      <c r="X680" s="441"/>
      <c r="Y680" s="442"/>
      <c r="Z680" s="165"/>
      <c r="AA680" s="165"/>
      <c r="AB680" s="165"/>
      <c r="AC680" s="165"/>
      <c r="AD680" s="165"/>
      <c r="AE680" s="165"/>
      <c r="AF680" s="165"/>
      <c r="AG680" s="165"/>
      <c r="AH680" s="165"/>
      <c r="AI680" s="165"/>
      <c r="AJ680" s="165"/>
      <c r="AK680" s="165"/>
      <c r="AL680" s="165"/>
      <c r="AM680" s="165"/>
      <c r="AN680" s="165"/>
      <c r="AO680" s="165"/>
      <c r="AP680" s="165"/>
      <c r="AQ680" s="165"/>
    </row>
    <row r="681" ht="15.75" customHeight="1">
      <c r="H681" s="440"/>
      <c r="U681" s="441"/>
      <c r="V681" s="441"/>
      <c r="W681" s="441"/>
      <c r="X681" s="441"/>
      <c r="Y681" s="442"/>
      <c r="Z681" s="165"/>
      <c r="AA681" s="165"/>
      <c r="AB681" s="165"/>
      <c r="AC681" s="165"/>
      <c r="AD681" s="165"/>
      <c r="AE681" s="165"/>
      <c r="AF681" s="165"/>
      <c r="AG681" s="165"/>
      <c r="AH681" s="165"/>
      <c r="AI681" s="165"/>
      <c r="AJ681" s="165"/>
      <c r="AK681" s="165"/>
      <c r="AL681" s="165"/>
      <c r="AM681" s="165"/>
      <c r="AN681" s="165"/>
      <c r="AO681" s="165"/>
      <c r="AP681" s="165"/>
      <c r="AQ681" s="165"/>
    </row>
    <row r="682" ht="15.75" customHeight="1">
      <c r="H682" s="440"/>
      <c r="U682" s="441"/>
      <c r="V682" s="441"/>
      <c r="W682" s="441"/>
      <c r="X682" s="441"/>
      <c r="Y682" s="442"/>
      <c r="Z682" s="165"/>
      <c r="AA682" s="165"/>
      <c r="AB682" s="165"/>
      <c r="AC682" s="165"/>
      <c r="AD682" s="165"/>
      <c r="AE682" s="165"/>
      <c r="AF682" s="165"/>
      <c r="AG682" s="165"/>
      <c r="AH682" s="165"/>
      <c r="AI682" s="165"/>
      <c r="AJ682" s="165"/>
      <c r="AK682" s="165"/>
      <c r="AL682" s="165"/>
      <c r="AM682" s="165"/>
      <c r="AN682" s="165"/>
      <c r="AO682" s="165"/>
      <c r="AP682" s="165"/>
      <c r="AQ682" s="165"/>
    </row>
    <row r="683" ht="15.75" customHeight="1">
      <c r="H683" s="440"/>
      <c r="U683" s="441"/>
      <c r="V683" s="441"/>
      <c r="W683" s="441"/>
      <c r="X683" s="441"/>
      <c r="Y683" s="442"/>
      <c r="Z683" s="165"/>
      <c r="AA683" s="165"/>
      <c r="AB683" s="165"/>
      <c r="AC683" s="165"/>
      <c r="AD683" s="165"/>
      <c r="AE683" s="165"/>
      <c r="AF683" s="165"/>
      <c r="AG683" s="165"/>
      <c r="AH683" s="165"/>
      <c r="AI683" s="165"/>
      <c r="AJ683" s="165"/>
      <c r="AK683" s="165"/>
      <c r="AL683" s="165"/>
      <c r="AM683" s="165"/>
      <c r="AN683" s="165"/>
      <c r="AO683" s="165"/>
      <c r="AP683" s="165"/>
      <c r="AQ683" s="165"/>
    </row>
    <row r="684" ht="15.75" customHeight="1">
      <c r="H684" s="440"/>
      <c r="U684" s="441"/>
      <c r="V684" s="441"/>
      <c r="W684" s="441"/>
      <c r="X684" s="441"/>
      <c r="Y684" s="442"/>
      <c r="Z684" s="165"/>
      <c r="AA684" s="165"/>
      <c r="AB684" s="165"/>
      <c r="AC684" s="165"/>
      <c r="AD684" s="165"/>
      <c r="AE684" s="165"/>
      <c r="AF684" s="165"/>
      <c r="AG684" s="165"/>
      <c r="AH684" s="165"/>
      <c r="AI684" s="165"/>
      <c r="AJ684" s="165"/>
      <c r="AK684" s="165"/>
      <c r="AL684" s="165"/>
      <c r="AM684" s="165"/>
      <c r="AN684" s="165"/>
      <c r="AO684" s="165"/>
      <c r="AP684" s="165"/>
      <c r="AQ684" s="165"/>
    </row>
    <row r="685" ht="15.75" customHeight="1">
      <c r="H685" s="440"/>
      <c r="U685" s="441"/>
      <c r="V685" s="441"/>
      <c r="W685" s="441"/>
      <c r="X685" s="441"/>
      <c r="Y685" s="442"/>
      <c r="Z685" s="165"/>
      <c r="AA685" s="165"/>
      <c r="AB685" s="165"/>
      <c r="AC685" s="165"/>
      <c r="AD685" s="165"/>
      <c r="AE685" s="165"/>
      <c r="AF685" s="165"/>
      <c r="AG685" s="165"/>
      <c r="AH685" s="165"/>
      <c r="AI685" s="165"/>
      <c r="AJ685" s="165"/>
      <c r="AK685" s="165"/>
      <c r="AL685" s="165"/>
      <c r="AM685" s="165"/>
      <c r="AN685" s="165"/>
      <c r="AO685" s="165"/>
      <c r="AP685" s="165"/>
      <c r="AQ685" s="165"/>
    </row>
    <row r="686" ht="15.75" customHeight="1">
      <c r="H686" s="440"/>
      <c r="U686" s="441"/>
      <c r="V686" s="441"/>
      <c r="W686" s="441"/>
      <c r="X686" s="441"/>
      <c r="Y686" s="442"/>
      <c r="Z686" s="165"/>
      <c r="AA686" s="165"/>
      <c r="AB686" s="165"/>
      <c r="AC686" s="165"/>
      <c r="AD686" s="165"/>
      <c r="AE686" s="165"/>
      <c r="AF686" s="165"/>
      <c r="AG686" s="165"/>
      <c r="AH686" s="165"/>
      <c r="AI686" s="165"/>
      <c r="AJ686" s="165"/>
      <c r="AK686" s="165"/>
      <c r="AL686" s="165"/>
      <c r="AM686" s="165"/>
      <c r="AN686" s="165"/>
      <c r="AO686" s="165"/>
      <c r="AP686" s="165"/>
      <c r="AQ686" s="165"/>
    </row>
    <row r="687" ht="15.75" customHeight="1">
      <c r="H687" s="440"/>
      <c r="U687" s="441"/>
      <c r="V687" s="441"/>
      <c r="W687" s="441"/>
      <c r="X687" s="441"/>
      <c r="Y687" s="442"/>
      <c r="Z687" s="165"/>
      <c r="AA687" s="165"/>
      <c r="AB687" s="165"/>
      <c r="AC687" s="165"/>
      <c r="AD687" s="165"/>
      <c r="AE687" s="165"/>
      <c r="AF687" s="165"/>
      <c r="AG687" s="165"/>
      <c r="AH687" s="165"/>
      <c r="AI687" s="165"/>
      <c r="AJ687" s="165"/>
      <c r="AK687" s="165"/>
      <c r="AL687" s="165"/>
      <c r="AM687" s="165"/>
      <c r="AN687" s="165"/>
      <c r="AO687" s="165"/>
      <c r="AP687" s="165"/>
      <c r="AQ687" s="165"/>
    </row>
    <row r="688" ht="15.75" customHeight="1">
      <c r="H688" s="440"/>
      <c r="U688" s="441"/>
      <c r="V688" s="441"/>
      <c r="W688" s="441"/>
      <c r="X688" s="441"/>
      <c r="Y688" s="442"/>
      <c r="Z688" s="165"/>
      <c r="AA688" s="165"/>
      <c r="AB688" s="165"/>
      <c r="AC688" s="165"/>
      <c r="AD688" s="165"/>
      <c r="AE688" s="165"/>
      <c r="AF688" s="165"/>
      <c r="AG688" s="165"/>
      <c r="AH688" s="165"/>
      <c r="AI688" s="165"/>
      <c r="AJ688" s="165"/>
      <c r="AK688" s="165"/>
      <c r="AL688" s="165"/>
      <c r="AM688" s="165"/>
      <c r="AN688" s="165"/>
      <c r="AO688" s="165"/>
      <c r="AP688" s="165"/>
      <c r="AQ688" s="165"/>
    </row>
    <row r="689" ht="15.75" customHeight="1">
      <c r="H689" s="440"/>
      <c r="U689" s="441"/>
      <c r="V689" s="441"/>
      <c r="W689" s="441"/>
      <c r="X689" s="441"/>
      <c r="Y689" s="442"/>
      <c r="Z689" s="165"/>
      <c r="AA689" s="165"/>
      <c r="AB689" s="165"/>
      <c r="AC689" s="165"/>
      <c r="AD689" s="165"/>
      <c r="AE689" s="165"/>
      <c r="AF689" s="165"/>
      <c r="AG689" s="165"/>
      <c r="AH689" s="165"/>
      <c r="AI689" s="165"/>
      <c r="AJ689" s="165"/>
      <c r="AK689" s="165"/>
      <c r="AL689" s="165"/>
      <c r="AM689" s="165"/>
      <c r="AN689" s="165"/>
      <c r="AO689" s="165"/>
      <c r="AP689" s="165"/>
      <c r="AQ689" s="165"/>
    </row>
    <row r="690" ht="15.75" customHeight="1">
      <c r="H690" s="440"/>
      <c r="U690" s="441"/>
      <c r="V690" s="441"/>
      <c r="W690" s="441"/>
      <c r="X690" s="441"/>
      <c r="Y690" s="442"/>
      <c r="Z690" s="165"/>
      <c r="AA690" s="165"/>
      <c r="AB690" s="165"/>
      <c r="AC690" s="165"/>
      <c r="AD690" s="165"/>
      <c r="AE690" s="165"/>
      <c r="AF690" s="165"/>
      <c r="AG690" s="165"/>
      <c r="AH690" s="165"/>
      <c r="AI690" s="165"/>
      <c r="AJ690" s="165"/>
      <c r="AK690" s="165"/>
      <c r="AL690" s="165"/>
      <c r="AM690" s="165"/>
      <c r="AN690" s="165"/>
      <c r="AO690" s="165"/>
      <c r="AP690" s="165"/>
      <c r="AQ690" s="165"/>
    </row>
    <row r="691" ht="15.75" customHeight="1">
      <c r="H691" s="440"/>
      <c r="U691" s="441"/>
      <c r="V691" s="441"/>
      <c r="W691" s="441"/>
      <c r="X691" s="441"/>
      <c r="Y691" s="442"/>
      <c r="Z691" s="165"/>
      <c r="AA691" s="165"/>
      <c r="AB691" s="165"/>
      <c r="AC691" s="165"/>
      <c r="AD691" s="165"/>
      <c r="AE691" s="165"/>
      <c r="AF691" s="165"/>
      <c r="AG691" s="165"/>
      <c r="AH691" s="165"/>
      <c r="AI691" s="165"/>
      <c r="AJ691" s="165"/>
      <c r="AK691" s="165"/>
      <c r="AL691" s="165"/>
      <c r="AM691" s="165"/>
      <c r="AN691" s="165"/>
      <c r="AO691" s="165"/>
      <c r="AP691" s="165"/>
      <c r="AQ691" s="165"/>
    </row>
    <row r="692" ht="15.75" customHeight="1">
      <c r="H692" s="440"/>
      <c r="U692" s="441"/>
      <c r="V692" s="441"/>
      <c r="W692" s="441"/>
      <c r="X692" s="441"/>
      <c r="Y692" s="442"/>
      <c r="Z692" s="165"/>
      <c r="AA692" s="165"/>
      <c r="AB692" s="165"/>
      <c r="AC692" s="165"/>
      <c r="AD692" s="165"/>
      <c r="AE692" s="165"/>
      <c r="AF692" s="165"/>
      <c r="AG692" s="165"/>
      <c r="AH692" s="165"/>
      <c r="AI692" s="165"/>
      <c r="AJ692" s="165"/>
      <c r="AK692" s="165"/>
      <c r="AL692" s="165"/>
      <c r="AM692" s="165"/>
      <c r="AN692" s="165"/>
      <c r="AO692" s="165"/>
      <c r="AP692" s="165"/>
      <c r="AQ692" s="165"/>
    </row>
    <row r="693" ht="15.75" customHeight="1">
      <c r="H693" s="440"/>
      <c r="U693" s="441"/>
      <c r="V693" s="441"/>
      <c r="W693" s="441"/>
      <c r="X693" s="441"/>
      <c r="Y693" s="442"/>
      <c r="Z693" s="165"/>
      <c r="AA693" s="165"/>
      <c r="AB693" s="165"/>
      <c r="AC693" s="165"/>
      <c r="AD693" s="165"/>
      <c r="AE693" s="165"/>
      <c r="AF693" s="165"/>
      <c r="AG693" s="165"/>
      <c r="AH693" s="165"/>
      <c r="AI693" s="165"/>
      <c r="AJ693" s="165"/>
      <c r="AK693" s="165"/>
      <c r="AL693" s="165"/>
      <c r="AM693" s="165"/>
      <c r="AN693" s="165"/>
      <c r="AO693" s="165"/>
      <c r="AP693" s="165"/>
      <c r="AQ693" s="165"/>
    </row>
    <row r="694" ht="15.75" customHeight="1">
      <c r="H694" s="440"/>
      <c r="U694" s="441"/>
      <c r="V694" s="441"/>
      <c r="W694" s="441"/>
      <c r="X694" s="441"/>
      <c r="Y694" s="442"/>
      <c r="Z694" s="165"/>
      <c r="AA694" s="165"/>
      <c r="AB694" s="165"/>
      <c r="AC694" s="165"/>
      <c r="AD694" s="165"/>
      <c r="AE694" s="165"/>
      <c r="AF694" s="165"/>
      <c r="AG694" s="165"/>
      <c r="AH694" s="165"/>
      <c r="AI694" s="165"/>
      <c r="AJ694" s="165"/>
      <c r="AK694" s="165"/>
      <c r="AL694" s="165"/>
      <c r="AM694" s="165"/>
      <c r="AN694" s="165"/>
      <c r="AO694" s="165"/>
      <c r="AP694" s="165"/>
      <c r="AQ694" s="165"/>
    </row>
    <row r="695" ht="15.75" customHeight="1">
      <c r="H695" s="440"/>
      <c r="U695" s="441"/>
      <c r="V695" s="441"/>
      <c r="W695" s="441"/>
      <c r="X695" s="441"/>
      <c r="Y695" s="442"/>
      <c r="Z695" s="165"/>
      <c r="AA695" s="165"/>
      <c r="AB695" s="165"/>
      <c r="AC695" s="165"/>
      <c r="AD695" s="165"/>
      <c r="AE695" s="165"/>
      <c r="AF695" s="165"/>
      <c r="AG695" s="165"/>
      <c r="AH695" s="165"/>
      <c r="AI695" s="165"/>
      <c r="AJ695" s="165"/>
      <c r="AK695" s="165"/>
      <c r="AL695" s="165"/>
      <c r="AM695" s="165"/>
      <c r="AN695" s="165"/>
      <c r="AO695" s="165"/>
      <c r="AP695" s="165"/>
      <c r="AQ695" s="165"/>
    </row>
    <row r="696" ht="15.75" customHeight="1">
      <c r="H696" s="440"/>
      <c r="U696" s="441"/>
      <c r="V696" s="441"/>
      <c r="W696" s="441"/>
      <c r="X696" s="441"/>
      <c r="Y696" s="442"/>
      <c r="Z696" s="165"/>
      <c r="AA696" s="165"/>
      <c r="AB696" s="165"/>
      <c r="AC696" s="165"/>
      <c r="AD696" s="165"/>
      <c r="AE696" s="165"/>
      <c r="AF696" s="165"/>
      <c r="AG696" s="165"/>
      <c r="AH696" s="165"/>
      <c r="AI696" s="165"/>
      <c r="AJ696" s="165"/>
      <c r="AK696" s="165"/>
      <c r="AL696" s="165"/>
      <c r="AM696" s="165"/>
      <c r="AN696" s="165"/>
      <c r="AO696" s="165"/>
      <c r="AP696" s="165"/>
      <c r="AQ696" s="165"/>
    </row>
    <row r="697" ht="15.75" customHeight="1">
      <c r="H697" s="440"/>
      <c r="U697" s="441"/>
      <c r="V697" s="441"/>
      <c r="W697" s="441"/>
      <c r="X697" s="441"/>
      <c r="Y697" s="442"/>
      <c r="Z697" s="165"/>
      <c r="AA697" s="165"/>
      <c r="AB697" s="165"/>
      <c r="AC697" s="165"/>
      <c r="AD697" s="165"/>
      <c r="AE697" s="165"/>
      <c r="AF697" s="165"/>
      <c r="AG697" s="165"/>
      <c r="AH697" s="165"/>
      <c r="AI697" s="165"/>
      <c r="AJ697" s="165"/>
      <c r="AK697" s="165"/>
      <c r="AL697" s="165"/>
      <c r="AM697" s="165"/>
      <c r="AN697" s="165"/>
      <c r="AO697" s="165"/>
      <c r="AP697" s="165"/>
      <c r="AQ697" s="165"/>
    </row>
    <row r="698" ht="15.75" customHeight="1">
      <c r="H698" s="440"/>
      <c r="U698" s="441"/>
      <c r="V698" s="441"/>
      <c r="W698" s="441"/>
      <c r="X698" s="441"/>
      <c r="Y698" s="442"/>
      <c r="Z698" s="165"/>
      <c r="AA698" s="165"/>
      <c r="AB698" s="165"/>
      <c r="AC698" s="165"/>
      <c r="AD698" s="165"/>
      <c r="AE698" s="165"/>
      <c r="AF698" s="165"/>
      <c r="AG698" s="165"/>
      <c r="AH698" s="165"/>
      <c r="AI698" s="165"/>
      <c r="AJ698" s="165"/>
      <c r="AK698" s="165"/>
      <c r="AL698" s="165"/>
      <c r="AM698" s="165"/>
      <c r="AN698" s="165"/>
      <c r="AO698" s="165"/>
      <c r="AP698" s="165"/>
      <c r="AQ698" s="165"/>
    </row>
    <row r="699" ht="15.75" customHeight="1">
      <c r="H699" s="440"/>
      <c r="U699" s="441"/>
      <c r="V699" s="441"/>
      <c r="W699" s="441"/>
      <c r="X699" s="441"/>
      <c r="Y699" s="442"/>
      <c r="Z699" s="165"/>
      <c r="AA699" s="165"/>
      <c r="AB699" s="165"/>
      <c r="AC699" s="165"/>
      <c r="AD699" s="165"/>
      <c r="AE699" s="165"/>
      <c r="AF699" s="165"/>
      <c r="AG699" s="165"/>
      <c r="AH699" s="165"/>
      <c r="AI699" s="165"/>
      <c r="AJ699" s="165"/>
      <c r="AK699" s="165"/>
      <c r="AL699" s="165"/>
      <c r="AM699" s="165"/>
      <c r="AN699" s="165"/>
      <c r="AO699" s="165"/>
      <c r="AP699" s="165"/>
      <c r="AQ699" s="165"/>
    </row>
    <row r="700" ht="15.75" customHeight="1">
      <c r="H700" s="440"/>
      <c r="U700" s="441"/>
      <c r="V700" s="441"/>
      <c r="W700" s="441"/>
      <c r="X700" s="441"/>
      <c r="Y700" s="442"/>
      <c r="Z700" s="165"/>
      <c r="AA700" s="165"/>
      <c r="AB700" s="165"/>
      <c r="AC700" s="165"/>
      <c r="AD700" s="165"/>
      <c r="AE700" s="165"/>
      <c r="AF700" s="165"/>
      <c r="AG700" s="165"/>
      <c r="AH700" s="165"/>
      <c r="AI700" s="165"/>
      <c r="AJ700" s="165"/>
      <c r="AK700" s="165"/>
      <c r="AL700" s="165"/>
      <c r="AM700" s="165"/>
      <c r="AN700" s="165"/>
      <c r="AO700" s="165"/>
      <c r="AP700" s="165"/>
      <c r="AQ700" s="165"/>
    </row>
    <row r="701" ht="15.75" customHeight="1">
      <c r="H701" s="440"/>
      <c r="U701" s="441"/>
      <c r="V701" s="441"/>
      <c r="W701" s="441"/>
      <c r="X701" s="441"/>
      <c r="Y701" s="442"/>
      <c r="Z701" s="165"/>
      <c r="AA701" s="165"/>
      <c r="AB701" s="165"/>
      <c r="AC701" s="165"/>
      <c r="AD701" s="165"/>
      <c r="AE701" s="165"/>
      <c r="AF701" s="165"/>
      <c r="AG701" s="165"/>
      <c r="AH701" s="165"/>
      <c r="AI701" s="165"/>
      <c r="AJ701" s="165"/>
      <c r="AK701" s="165"/>
      <c r="AL701" s="165"/>
      <c r="AM701" s="165"/>
      <c r="AN701" s="165"/>
      <c r="AO701" s="165"/>
      <c r="AP701" s="165"/>
      <c r="AQ701" s="165"/>
    </row>
    <row r="702" ht="15.75" customHeight="1">
      <c r="H702" s="440"/>
      <c r="U702" s="441"/>
      <c r="V702" s="441"/>
      <c r="W702" s="441"/>
      <c r="X702" s="441"/>
      <c r="Y702" s="442"/>
      <c r="Z702" s="165"/>
      <c r="AA702" s="165"/>
      <c r="AB702" s="165"/>
      <c r="AC702" s="165"/>
      <c r="AD702" s="165"/>
      <c r="AE702" s="165"/>
      <c r="AF702" s="165"/>
      <c r="AG702" s="165"/>
      <c r="AH702" s="165"/>
      <c r="AI702" s="165"/>
      <c r="AJ702" s="165"/>
      <c r="AK702" s="165"/>
      <c r="AL702" s="165"/>
      <c r="AM702" s="165"/>
      <c r="AN702" s="165"/>
      <c r="AO702" s="165"/>
      <c r="AP702" s="165"/>
      <c r="AQ702" s="165"/>
    </row>
    <row r="703" ht="15.75" customHeight="1">
      <c r="H703" s="440"/>
      <c r="U703" s="441"/>
      <c r="V703" s="441"/>
      <c r="W703" s="441"/>
      <c r="X703" s="441"/>
      <c r="Y703" s="442"/>
      <c r="Z703" s="165"/>
      <c r="AA703" s="165"/>
      <c r="AB703" s="165"/>
      <c r="AC703" s="165"/>
      <c r="AD703" s="165"/>
      <c r="AE703" s="165"/>
      <c r="AF703" s="165"/>
      <c r="AG703" s="165"/>
      <c r="AH703" s="165"/>
      <c r="AI703" s="165"/>
      <c r="AJ703" s="165"/>
      <c r="AK703" s="165"/>
      <c r="AL703" s="165"/>
      <c r="AM703" s="165"/>
      <c r="AN703" s="165"/>
      <c r="AO703" s="165"/>
      <c r="AP703" s="165"/>
      <c r="AQ703" s="165"/>
    </row>
    <row r="704" ht="15.75" customHeight="1">
      <c r="H704" s="440"/>
      <c r="U704" s="441"/>
      <c r="V704" s="441"/>
      <c r="W704" s="441"/>
      <c r="X704" s="441"/>
      <c r="Y704" s="442"/>
      <c r="Z704" s="165"/>
      <c r="AA704" s="165"/>
      <c r="AB704" s="165"/>
      <c r="AC704" s="165"/>
      <c r="AD704" s="165"/>
      <c r="AE704" s="165"/>
      <c r="AF704" s="165"/>
      <c r="AG704" s="165"/>
      <c r="AH704" s="165"/>
      <c r="AI704" s="165"/>
      <c r="AJ704" s="165"/>
      <c r="AK704" s="165"/>
      <c r="AL704" s="165"/>
      <c r="AM704" s="165"/>
      <c r="AN704" s="165"/>
      <c r="AO704" s="165"/>
      <c r="AP704" s="165"/>
      <c r="AQ704" s="165"/>
    </row>
    <row r="705" ht="15.75" customHeight="1">
      <c r="H705" s="440"/>
      <c r="U705" s="441"/>
      <c r="V705" s="441"/>
      <c r="W705" s="441"/>
      <c r="X705" s="441"/>
      <c r="Y705" s="442"/>
      <c r="Z705" s="165"/>
      <c r="AA705" s="165"/>
      <c r="AB705" s="165"/>
      <c r="AC705" s="165"/>
      <c r="AD705" s="165"/>
      <c r="AE705" s="165"/>
      <c r="AF705" s="165"/>
      <c r="AG705" s="165"/>
      <c r="AH705" s="165"/>
      <c r="AI705" s="165"/>
      <c r="AJ705" s="165"/>
      <c r="AK705" s="165"/>
      <c r="AL705" s="165"/>
      <c r="AM705" s="165"/>
      <c r="AN705" s="165"/>
      <c r="AO705" s="165"/>
      <c r="AP705" s="165"/>
      <c r="AQ705" s="165"/>
    </row>
    <row r="706" ht="15.75" customHeight="1">
      <c r="H706" s="440"/>
      <c r="U706" s="441"/>
      <c r="V706" s="441"/>
      <c r="W706" s="441"/>
      <c r="X706" s="441"/>
      <c r="Y706" s="442"/>
      <c r="Z706" s="165"/>
      <c r="AA706" s="165"/>
      <c r="AB706" s="165"/>
      <c r="AC706" s="165"/>
      <c r="AD706" s="165"/>
      <c r="AE706" s="165"/>
      <c r="AF706" s="165"/>
      <c r="AG706" s="165"/>
      <c r="AH706" s="165"/>
      <c r="AI706" s="165"/>
      <c r="AJ706" s="165"/>
      <c r="AK706" s="165"/>
      <c r="AL706" s="165"/>
      <c r="AM706" s="165"/>
      <c r="AN706" s="165"/>
      <c r="AO706" s="165"/>
      <c r="AP706" s="165"/>
      <c r="AQ706" s="165"/>
    </row>
    <row r="707" ht="15.75" customHeight="1">
      <c r="H707" s="440"/>
      <c r="U707" s="441"/>
      <c r="V707" s="441"/>
      <c r="W707" s="441"/>
      <c r="X707" s="441"/>
      <c r="Y707" s="442"/>
      <c r="Z707" s="165"/>
      <c r="AA707" s="165"/>
      <c r="AB707" s="165"/>
      <c r="AC707" s="165"/>
      <c r="AD707" s="165"/>
      <c r="AE707" s="165"/>
      <c r="AF707" s="165"/>
      <c r="AG707" s="165"/>
      <c r="AH707" s="165"/>
      <c r="AI707" s="165"/>
      <c r="AJ707" s="165"/>
      <c r="AK707" s="165"/>
      <c r="AL707" s="165"/>
      <c r="AM707" s="165"/>
      <c r="AN707" s="165"/>
      <c r="AO707" s="165"/>
      <c r="AP707" s="165"/>
      <c r="AQ707" s="165"/>
    </row>
    <row r="708" ht="15.75" customHeight="1">
      <c r="H708" s="440"/>
      <c r="U708" s="441"/>
      <c r="V708" s="441"/>
      <c r="W708" s="441"/>
      <c r="X708" s="441"/>
      <c r="Y708" s="442"/>
      <c r="Z708" s="165"/>
      <c r="AA708" s="165"/>
      <c r="AB708" s="165"/>
      <c r="AC708" s="165"/>
      <c r="AD708" s="165"/>
      <c r="AE708" s="165"/>
      <c r="AF708" s="165"/>
      <c r="AG708" s="165"/>
      <c r="AH708" s="165"/>
      <c r="AI708" s="165"/>
      <c r="AJ708" s="165"/>
      <c r="AK708" s="165"/>
      <c r="AL708" s="165"/>
      <c r="AM708" s="165"/>
      <c r="AN708" s="165"/>
      <c r="AO708" s="165"/>
      <c r="AP708" s="165"/>
      <c r="AQ708" s="165"/>
    </row>
    <row r="709" ht="15.75" customHeight="1">
      <c r="H709" s="440"/>
      <c r="U709" s="441"/>
      <c r="V709" s="441"/>
      <c r="W709" s="441"/>
      <c r="X709" s="441"/>
      <c r="Y709" s="442"/>
      <c r="Z709" s="165"/>
      <c r="AA709" s="165"/>
      <c r="AB709" s="165"/>
      <c r="AC709" s="165"/>
      <c r="AD709" s="165"/>
      <c r="AE709" s="165"/>
      <c r="AF709" s="165"/>
      <c r="AG709" s="165"/>
      <c r="AH709" s="165"/>
      <c r="AI709" s="165"/>
      <c r="AJ709" s="165"/>
      <c r="AK709" s="165"/>
      <c r="AL709" s="165"/>
      <c r="AM709" s="165"/>
      <c r="AN709" s="165"/>
      <c r="AO709" s="165"/>
      <c r="AP709" s="165"/>
      <c r="AQ709" s="165"/>
    </row>
    <row r="710" ht="15.75" customHeight="1">
      <c r="H710" s="440"/>
      <c r="U710" s="441"/>
      <c r="V710" s="441"/>
      <c r="W710" s="441"/>
      <c r="X710" s="441"/>
      <c r="Y710" s="442"/>
      <c r="Z710" s="165"/>
      <c r="AA710" s="165"/>
      <c r="AB710" s="165"/>
      <c r="AC710" s="165"/>
      <c r="AD710" s="165"/>
      <c r="AE710" s="165"/>
      <c r="AF710" s="165"/>
      <c r="AG710" s="165"/>
      <c r="AH710" s="165"/>
      <c r="AI710" s="165"/>
      <c r="AJ710" s="165"/>
      <c r="AK710" s="165"/>
      <c r="AL710" s="165"/>
      <c r="AM710" s="165"/>
      <c r="AN710" s="165"/>
      <c r="AO710" s="165"/>
      <c r="AP710" s="165"/>
      <c r="AQ710" s="165"/>
    </row>
    <row r="711" ht="15.75" customHeight="1">
      <c r="H711" s="440"/>
      <c r="U711" s="441"/>
      <c r="V711" s="441"/>
      <c r="W711" s="441"/>
      <c r="X711" s="441"/>
      <c r="Y711" s="442"/>
      <c r="Z711" s="165"/>
      <c r="AA711" s="165"/>
      <c r="AB711" s="165"/>
      <c r="AC711" s="165"/>
      <c r="AD711" s="165"/>
      <c r="AE711" s="165"/>
      <c r="AF711" s="165"/>
      <c r="AG711" s="165"/>
      <c r="AH711" s="165"/>
      <c r="AI711" s="165"/>
      <c r="AJ711" s="165"/>
      <c r="AK711" s="165"/>
      <c r="AL711" s="165"/>
      <c r="AM711" s="165"/>
      <c r="AN711" s="165"/>
      <c r="AO711" s="165"/>
      <c r="AP711" s="165"/>
      <c r="AQ711" s="165"/>
    </row>
    <row r="712" ht="15.75" customHeight="1">
      <c r="H712" s="440"/>
      <c r="U712" s="441"/>
      <c r="V712" s="441"/>
      <c r="W712" s="441"/>
      <c r="X712" s="441"/>
      <c r="Y712" s="442"/>
      <c r="Z712" s="165"/>
      <c r="AA712" s="165"/>
      <c r="AB712" s="165"/>
      <c r="AC712" s="165"/>
      <c r="AD712" s="165"/>
      <c r="AE712" s="165"/>
      <c r="AF712" s="165"/>
      <c r="AG712" s="165"/>
      <c r="AH712" s="165"/>
      <c r="AI712" s="165"/>
      <c r="AJ712" s="165"/>
      <c r="AK712" s="165"/>
      <c r="AL712" s="165"/>
      <c r="AM712" s="165"/>
      <c r="AN712" s="165"/>
      <c r="AO712" s="165"/>
      <c r="AP712" s="165"/>
      <c r="AQ712" s="165"/>
    </row>
    <row r="713" ht="15.75" customHeight="1">
      <c r="H713" s="440"/>
      <c r="U713" s="441"/>
      <c r="V713" s="441"/>
      <c r="W713" s="441"/>
      <c r="X713" s="441"/>
      <c r="Y713" s="442"/>
      <c r="Z713" s="165"/>
      <c r="AA713" s="165"/>
      <c r="AB713" s="165"/>
      <c r="AC713" s="165"/>
      <c r="AD713" s="165"/>
      <c r="AE713" s="165"/>
      <c r="AF713" s="165"/>
      <c r="AG713" s="165"/>
      <c r="AH713" s="165"/>
      <c r="AI713" s="165"/>
      <c r="AJ713" s="165"/>
      <c r="AK713" s="165"/>
      <c r="AL713" s="165"/>
      <c r="AM713" s="165"/>
      <c r="AN713" s="165"/>
      <c r="AO713" s="165"/>
      <c r="AP713" s="165"/>
      <c r="AQ713" s="165"/>
    </row>
    <row r="714" ht="15.75" customHeight="1">
      <c r="H714" s="440"/>
      <c r="U714" s="441"/>
      <c r="V714" s="441"/>
      <c r="W714" s="441"/>
      <c r="X714" s="441"/>
      <c r="Y714" s="442"/>
      <c r="Z714" s="165"/>
      <c r="AA714" s="165"/>
      <c r="AB714" s="165"/>
      <c r="AC714" s="165"/>
      <c r="AD714" s="165"/>
      <c r="AE714" s="165"/>
      <c r="AF714" s="165"/>
      <c r="AG714" s="165"/>
      <c r="AH714" s="165"/>
      <c r="AI714" s="165"/>
      <c r="AJ714" s="165"/>
      <c r="AK714" s="165"/>
      <c r="AL714" s="165"/>
      <c r="AM714" s="165"/>
      <c r="AN714" s="165"/>
      <c r="AO714" s="165"/>
      <c r="AP714" s="165"/>
      <c r="AQ714" s="165"/>
    </row>
    <row r="715" ht="15.75" customHeight="1">
      <c r="H715" s="440"/>
      <c r="U715" s="441"/>
      <c r="V715" s="441"/>
      <c r="W715" s="441"/>
      <c r="X715" s="441"/>
      <c r="Y715" s="442"/>
      <c r="Z715" s="165"/>
      <c r="AA715" s="165"/>
      <c r="AB715" s="165"/>
      <c r="AC715" s="165"/>
      <c r="AD715" s="165"/>
      <c r="AE715" s="165"/>
      <c r="AF715" s="165"/>
      <c r="AG715" s="165"/>
      <c r="AH715" s="165"/>
      <c r="AI715" s="165"/>
      <c r="AJ715" s="165"/>
      <c r="AK715" s="165"/>
      <c r="AL715" s="165"/>
      <c r="AM715" s="165"/>
      <c r="AN715" s="165"/>
      <c r="AO715" s="165"/>
      <c r="AP715" s="165"/>
      <c r="AQ715" s="165"/>
    </row>
    <row r="716" ht="15.75" customHeight="1">
      <c r="H716" s="440"/>
      <c r="U716" s="441"/>
      <c r="V716" s="441"/>
      <c r="W716" s="441"/>
      <c r="X716" s="441"/>
      <c r="Y716" s="442"/>
      <c r="Z716" s="165"/>
      <c r="AA716" s="165"/>
      <c r="AB716" s="165"/>
      <c r="AC716" s="165"/>
      <c r="AD716" s="165"/>
      <c r="AE716" s="165"/>
      <c r="AF716" s="165"/>
      <c r="AG716" s="165"/>
      <c r="AH716" s="165"/>
      <c r="AI716" s="165"/>
      <c r="AJ716" s="165"/>
      <c r="AK716" s="165"/>
      <c r="AL716" s="165"/>
      <c r="AM716" s="165"/>
      <c r="AN716" s="165"/>
      <c r="AO716" s="165"/>
      <c r="AP716" s="165"/>
      <c r="AQ716" s="165"/>
    </row>
    <row r="717" ht="15.75" customHeight="1">
      <c r="H717" s="440"/>
      <c r="U717" s="441"/>
      <c r="V717" s="441"/>
      <c r="W717" s="441"/>
      <c r="X717" s="441"/>
      <c r="Y717" s="442"/>
      <c r="Z717" s="165"/>
      <c r="AA717" s="165"/>
      <c r="AB717" s="165"/>
      <c r="AC717" s="165"/>
      <c r="AD717" s="165"/>
      <c r="AE717" s="165"/>
      <c r="AF717" s="165"/>
      <c r="AG717" s="165"/>
      <c r="AH717" s="165"/>
      <c r="AI717" s="165"/>
      <c r="AJ717" s="165"/>
      <c r="AK717" s="165"/>
      <c r="AL717" s="165"/>
      <c r="AM717" s="165"/>
      <c r="AN717" s="165"/>
      <c r="AO717" s="165"/>
      <c r="AP717" s="165"/>
      <c r="AQ717" s="165"/>
    </row>
    <row r="718" ht="15.75" customHeight="1">
      <c r="H718" s="440"/>
      <c r="U718" s="441"/>
      <c r="V718" s="441"/>
      <c r="W718" s="441"/>
      <c r="X718" s="441"/>
      <c r="Y718" s="442"/>
      <c r="Z718" s="165"/>
      <c r="AA718" s="165"/>
      <c r="AB718" s="165"/>
      <c r="AC718" s="165"/>
      <c r="AD718" s="165"/>
      <c r="AE718" s="165"/>
      <c r="AF718" s="165"/>
      <c r="AG718" s="165"/>
      <c r="AH718" s="165"/>
      <c r="AI718" s="165"/>
      <c r="AJ718" s="165"/>
      <c r="AK718" s="165"/>
      <c r="AL718" s="165"/>
      <c r="AM718" s="165"/>
      <c r="AN718" s="165"/>
      <c r="AO718" s="165"/>
      <c r="AP718" s="165"/>
      <c r="AQ718" s="165"/>
    </row>
    <row r="719" ht="15.75" customHeight="1">
      <c r="H719" s="440"/>
      <c r="U719" s="441"/>
      <c r="V719" s="441"/>
      <c r="W719" s="441"/>
      <c r="X719" s="441"/>
      <c r="Y719" s="442"/>
      <c r="Z719" s="165"/>
      <c r="AA719" s="165"/>
      <c r="AB719" s="165"/>
      <c r="AC719" s="165"/>
      <c r="AD719" s="165"/>
      <c r="AE719" s="165"/>
      <c r="AF719" s="165"/>
      <c r="AG719" s="165"/>
      <c r="AH719" s="165"/>
      <c r="AI719" s="165"/>
      <c r="AJ719" s="165"/>
      <c r="AK719" s="165"/>
      <c r="AL719" s="165"/>
      <c r="AM719" s="165"/>
      <c r="AN719" s="165"/>
      <c r="AO719" s="165"/>
      <c r="AP719" s="165"/>
      <c r="AQ719" s="165"/>
    </row>
    <row r="720" ht="15.75" customHeight="1">
      <c r="H720" s="440"/>
      <c r="U720" s="441"/>
      <c r="V720" s="441"/>
      <c r="W720" s="441"/>
      <c r="X720" s="441"/>
      <c r="Y720" s="442"/>
      <c r="Z720" s="165"/>
      <c r="AA720" s="165"/>
      <c r="AB720" s="165"/>
      <c r="AC720" s="165"/>
      <c r="AD720" s="165"/>
      <c r="AE720" s="165"/>
      <c r="AF720" s="165"/>
      <c r="AG720" s="165"/>
      <c r="AH720" s="165"/>
      <c r="AI720" s="165"/>
      <c r="AJ720" s="165"/>
      <c r="AK720" s="165"/>
      <c r="AL720" s="165"/>
      <c r="AM720" s="165"/>
      <c r="AN720" s="165"/>
      <c r="AO720" s="165"/>
      <c r="AP720" s="165"/>
      <c r="AQ720" s="165"/>
    </row>
    <row r="721" ht="15.75" customHeight="1">
      <c r="H721" s="440"/>
      <c r="U721" s="441"/>
      <c r="V721" s="441"/>
      <c r="W721" s="441"/>
      <c r="X721" s="441"/>
      <c r="Y721" s="442"/>
      <c r="Z721" s="165"/>
      <c r="AA721" s="165"/>
      <c r="AB721" s="165"/>
      <c r="AC721" s="165"/>
      <c r="AD721" s="165"/>
      <c r="AE721" s="165"/>
      <c r="AF721" s="165"/>
      <c r="AG721" s="165"/>
      <c r="AH721" s="165"/>
      <c r="AI721" s="165"/>
      <c r="AJ721" s="165"/>
      <c r="AK721" s="165"/>
      <c r="AL721" s="165"/>
      <c r="AM721" s="165"/>
      <c r="AN721" s="165"/>
      <c r="AO721" s="165"/>
      <c r="AP721" s="165"/>
      <c r="AQ721" s="165"/>
    </row>
    <row r="722" ht="15.75" customHeight="1">
      <c r="H722" s="440"/>
      <c r="U722" s="441"/>
      <c r="V722" s="441"/>
      <c r="W722" s="441"/>
      <c r="X722" s="441"/>
      <c r="Y722" s="442"/>
      <c r="Z722" s="165"/>
      <c r="AA722" s="165"/>
      <c r="AB722" s="165"/>
      <c r="AC722" s="165"/>
      <c r="AD722" s="165"/>
      <c r="AE722" s="165"/>
      <c r="AF722" s="165"/>
      <c r="AG722" s="165"/>
      <c r="AH722" s="165"/>
      <c r="AI722" s="165"/>
      <c r="AJ722" s="165"/>
      <c r="AK722" s="165"/>
      <c r="AL722" s="165"/>
      <c r="AM722" s="165"/>
      <c r="AN722" s="165"/>
      <c r="AO722" s="165"/>
      <c r="AP722" s="165"/>
      <c r="AQ722" s="165"/>
    </row>
    <row r="723" ht="15.75" customHeight="1">
      <c r="H723" s="440"/>
      <c r="U723" s="441"/>
      <c r="V723" s="441"/>
      <c r="W723" s="441"/>
      <c r="X723" s="441"/>
      <c r="Y723" s="442"/>
      <c r="Z723" s="165"/>
      <c r="AA723" s="165"/>
      <c r="AB723" s="165"/>
      <c r="AC723" s="165"/>
      <c r="AD723" s="165"/>
      <c r="AE723" s="165"/>
      <c r="AF723" s="165"/>
      <c r="AG723" s="165"/>
      <c r="AH723" s="165"/>
      <c r="AI723" s="165"/>
      <c r="AJ723" s="165"/>
      <c r="AK723" s="165"/>
      <c r="AL723" s="165"/>
      <c r="AM723" s="165"/>
      <c r="AN723" s="165"/>
      <c r="AO723" s="165"/>
      <c r="AP723" s="165"/>
      <c r="AQ723" s="165"/>
    </row>
    <row r="724" ht="15.75" customHeight="1">
      <c r="H724" s="440"/>
      <c r="U724" s="441"/>
      <c r="V724" s="441"/>
      <c r="W724" s="441"/>
      <c r="X724" s="441"/>
      <c r="Y724" s="442"/>
      <c r="Z724" s="165"/>
      <c r="AA724" s="165"/>
      <c r="AB724" s="165"/>
      <c r="AC724" s="165"/>
      <c r="AD724" s="165"/>
      <c r="AE724" s="165"/>
      <c r="AF724" s="165"/>
      <c r="AG724" s="165"/>
      <c r="AH724" s="165"/>
      <c r="AI724" s="165"/>
      <c r="AJ724" s="165"/>
      <c r="AK724" s="165"/>
      <c r="AL724" s="165"/>
      <c r="AM724" s="165"/>
      <c r="AN724" s="165"/>
      <c r="AO724" s="165"/>
      <c r="AP724" s="165"/>
      <c r="AQ724" s="165"/>
    </row>
    <row r="725" ht="15.75" customHeight="1">
      <c r="H725" s="440"/>
      <c r="U725" s="441"/>
      <c r="V725" s="441"/>
      <c r="W725" s="441"/>
      <c r="X725" s="441"/>
      <c r="Y725" s="442"/>
      <c r="Z725" s="165"/>
      <c r="AA725" s="165"/>
      <c r="AB725" s="165"/>
      <c r="AC725" s="165"/>
      <c r="AD725" s="165"/>
      <c r="AE725" s="165"/>
      <c r="AF725" s="165"/>
      <c r="AG725" s="165"/>
      <c r="AH725" s="165"/>
      <c r="AI725" s="165"/>
      <c r="AJ725" s="165"/>
      <c r="AK725" s="165"/>
      <c r="AL725" s="165"/>
      <c r="AM725" s="165"/>
      <c r="AN725" s="165"/>
      <c r="AO725" s="165"/>
      <c r="AP725" s="165"/>
      <c r="AQ725" s="165"/>
    </row>
    <row r="726" ht="15.75" customHeight="1">
      <c r="H726" s="440"/>
      <c r="U726" s="441"/>
      <c r="V726" s="441"/>
      <c r="W726" s="441"/>
      <c r="X726" s="441"/>
      <c r="Y726" s="442"/>
      <c r="Z726" s="165"/>
      <c r="AA726" s="165"/>
      <c r="AB726" s="165"/>
      <c r="AC726" s="165"/>
      <c r="AD726" s="165"/>
      <c r="AE726" s="165"/>
      <c r="AF726" s="165"/>
      <c r="AG726" s="165"/>
      <c r="AH726" s="165"/>
      <c r="AI726" s="165"/>
      <c r="AJ726" s="165"/>
      <c r="AK726" s="165"/>
      <c r="AL726" s="165"/>
      <c r="AM726" s="165"/>
      <c r="AN726" s="165"/>
      <c r="AO726" s="165"/>
      <c r="AP726" s="165"/>
      <c r="AQ726" s="165"/>
    </row>
    <row r="727" ht="15.75" customHeight="1">
      <c r="H727" s="440"/>
      <c r="U727" s="441"/>
      <c r="V727" s="441"/>
      <c r="W727" s="441"/>
      <c r="X727" s="441"/>
      <c r="Y727" s="442"/>
      <c r="Z727" s="165"/>
      <c r="AA727" s="165"/>
      <c r="AB727" s="165"/>
      <c r="AC727" s="165"/>
      <c r="AD727" s="165"/>
      <c r="AE727" s="165"/>
      <c r="AF727" s="165"/>
      <c r="AG727" s="165"/>
      <c r="AH727" s="165"/>
      <c r="AI727" s="165"/>
      <c r="AJ727" s="165"/>
      <c r="AK727" s="165"/>
      <c r="AL727" s="165"/>
      <c r="AM727" s="165"/>
      <c r="AN727" s="165"/>
      <c r="AO727" s="165"/>
      <c r="AP727" s="165"/>
      <c r="AQ727" s="165"/>
    </row>
    <row r="728" ht="15.75" customHeight="1">
      <c r="H728" s="440"/>
      <c r="U728" s="441"/>
      <c r="V728" s="441"/>
      <c r="W728" s="441"/>
      <c r="X728" s="441"/>
      <c r="Y728" s="442"/>
      <c r="Z728" s="165"/>
      <c r="AA728" s="165"/>
      <c r="AB728" s="165"/>
      <c r="AC728" s="165"/>
      <c r="AD728" s="165"/>
      <c r="AE728" s="165"/>
      <c r="AF728" s="165"/>
      <c r="AG728" s="165"/>
      <c r="AH728" s="165"/>
      <c r="AI728" s="165"/>
      <c r="AJ728" s="165"/>
      <c r="AK728" s="165"/>
      <c r="AL728" s="165"/>
      <c r="AM728" s="165"/>
      <c r="AN728" s="165"/>
      <c r="AO728" s="165"/>
      <c r="AP728" s="165"/>
      <c r="AQ728" s="165"/>
    </row>
    <row r="729" ht="15.75" customHeight="1">
      <c r="H729" s="440"/>
      <c r="U729" s="441"/>
      <c r="V729" s="441"/>
      <c r="W729" s="441"/>
      <c r="X729" s="441"/>
      <c r="Y729" s="442"/>
      <c r="Z729" s="165"/>
      <c r="AA729" s="165"/>
      <c r="AB729" s="165"/>
      <c r="AC729" s="165"/>
      <c r="AD729" s="165"/>
      <c r="AE729" s="165"/>
      <c r="AF729" s="165"/>
      <c r="AG729" s="165"/>
      <c r="AH729" s="165"/>
      <c r="AI729" s="165"/>
      <c r="AJ729" s="165"/>
      <c r="AK729" s="165"/>
      <c r="AL729" s="165"/>
      <c r="AM729" s="165"/>
      <c r="AN729" s="165"/>
      <c r="AO729" s="165"/>
      <c r="AP729" s="165"/>
      <c r="AQ729" s="165"/>
    </row>
    <row r="730" ht="15.75" customHeight="1">
      <c r="H730" s="440"/>
      <c r="U730" s="441"/>
      <c r="V730" s="441"/>
      <c r="W730" s="441"/>
      <c r="X730" s="441"/>
      <c r="Y730" s="442"/>
      <c r="Z730" s="165"/>
      <c r="AA730" s="165"/>
      <c r="AB730" s="165"/>
      <c r="AC730" s="165"/>
      <c r="AD730" s="165"/>
      <c r="AE730" s="165"/>
      <c r="AF730" s="165"/>
      <c r="AG730" s="165"/>
      <c r="AH730" s="165"/>
      <c r="AI730" s="165"/>
      <c r="AJ730" s="165"/>
      <c r="AK730" s="165"/>
      <c r="AL730" s="165"/>
      <c r="AM730" s="165"/>
      <c r="AN730" s="165"/>
      <c r="AO730" s="165"/>
      <c r="AP730" s="165"/>
      <c r="AQ730" s="165"/>
    </row>
    <row r="731" ht="15.75" customHeight="1">
      <c r="H731" s="440"/>
      <c r="U731" s="441"/>
      <c r="V731" s="441"/>
      <c r="W731" s="441"/>
      <c r="X731" s="441"/>
      <c r="Y731" s="442"/>
      <c r="Z731" s="165"/>
      <c r="AA731" s="165"/>
      <c r="AB731" s="165"/>
      <c r="AC731" s="165"/>
      <c r="AD731" s="165"/>
      <c r="AE731" s="165"/>
      <c r="AF731" s="165"/>
      <c r="AG731" s="165"/>
      <c r="AH731" s="165"/>
      <c r="AI731" s="165"/>
      <c r="AJ731" s="165"/>
      <c r="AK731" s="165"/>
      <c r="AL731" s="165"/>
      <c r="AM731" s="165"/>
      <c r="AN731" s="165"/>
      <c r="AO731" s="165"/>
      <c r="AP731" s="165"/>
      <c r="AQ731" s="165"/>
    </row>
    <row r="732" ht="15.75" customHeight="1">
      <c r="H732" s="440"/>
      <c r="U732" s="441"/>
      <c r="V732" s="441"/>
      <c r="W732" s="441"/>
      <c r="X732" s="441"/>
      <c r="Y732" s="442"/>
      <c r="Z732" s="165"/>
      <c r="AA732" s="165"/>
      <c r="AB732" s="165"/>
      <c r="AC732" s="165"/>
      <c r="AD732" s="165"/>
      <c r="AE732" s="165"/>
      <c r="AF732" s="165"/>
      <c r="AG732" s="165"/>
      <c r="AH732" s="165"/>
      <c r="AI732" s="165"/>
      <c r="AJ732" s="165"/>
      <c r="AK732" s="165"/>
      <c r="AL732" s="165"/>
      <c r="AM732" s="165"/>
      <c r="AN732" s="165"/>
      <c r="AO732" s="165"/>
      <c r="AP732" s="165"/>
      <c r="AQ732" s="165"/>
    </row>
    <row r="733" ht="15.75" customHeight="1">
      <c r="H733" s="440"/>
      <c r="U733" s="441"/>
      <c r="V733" s="441"/>
      <c r="W733" s="441"/>
      <c r="X733" s="441"/>
      <c r="Y733" s="442"/>
      <c r="Z733" s="165"/>
      <c r="AA733" s="165"/>
      <c r="AB733" s="165"/>
      <c r="AC733" s="165"/>
      <c r="AD733" s="165"/>
      <c r="AE733" s="165"/>
      <c r="AF733" s="165"/>
      <c r="AG733" s="165"/>
      <c r="AH733" s="165"/>
      <c r="AI733" s="165"/>
      <c r="AJ733" s="165"/>
      <c r="AK733" s="165"/>
      <c r="AL733" s="165"/>
      <c r="AM733" s="165"/>
      <c r="AN733" s="165"/>
      <c r="AO733" s="165"/>
      <c r="AP733" s="165"/>
      <c r="AQ733" s="165"/>
    </row>
    <row r="734" ht="15.75" customHeight="1">
      <c r="H734" s="440"/>
      <c r="U734" s="441"/>
      <c r="V734" s="441"/>
      <c r="W734" s="441"/>
      <c r="X734" s="441"/>
      <c r="Y734" s="442"/>
      <c r="Z734" s="165"/>
      <c r="AA734" s="165"/>
      <c r="AB734" s="165"/>
      <c r="AC734" s="165"/>
      <c r="AD734" s="165"/>
      <c r="AE734" s="165"/>
      <c r="AF734" s="165"/>
      <c r="AG734" s="165"/>
      <c r="AH734" s="165"/>
      <c r="AI734" s="165"/>
      <c r="AJ734" s="165"/>
      <c r="AK734" s="165"/>
      <c r="AL734" s="165"/>
      <c r="AM734" s="165"/>
      <c r="AN734" s="165"/>
      <c r="AO734" s="165"/>
      <c r="AP734" s="165"/>
      <c r="AQ734" s="165"/>
    </row>
    <row r="735" ht="15.75" customHeight="1">
      <c r="H735" s="440"/>
      <c r="U735" s="441"/>
      <c r="V735" s="441"/>
      <c r="W735" s="441"/>
      <c r="X735" s="441"/>
      <c r="Y735" s="442"/>
      <c r="Z735" s="165"/>
      <c r="AA735" s="165"/>
      <c r="AB735" s="165"/>
      <c r="AC735" s="165"/>
      <c r="AD735" s="165"/>
      <c r="AE735" s="165"/>
      <c r="AF735" s="165"/>
      <c r="AG735" s="165"/>
      <c r="AH735" s="165"/>
      <c r="AI735" s="165"/>
      <c r="AJ735" s="165"/>
      <c r="AK735" s="165"/>
      <c r="AL735" s="165"/>
      <c r="AM735" s="165"/>
      <c r="AN735" s="165"/>
      <c r="AO735" s="165"/>
      <c r="AP735" s="165"/>
      <c r="AQ735" s="165"/>
    </row>
    <row r="736" ht="15.75" customHeight="1">
      <c r="H736" s="440"/>
      <c r="U736" s="441"/>
      <c r="V736" s="441"/>
      <c r="W736" s="441"/>
      <c r="X736" s="441"/>
      <c r="Y736" s="442"/>
      <c r="Z736" s="165"/>
      <c r="AA736" s="165"/>
      <c r="AB736" s="165"/>
      <c r="AC736" s="165"/>
      <c r="AD736" s="165"/>
      <c r="AE736" s="165"/>
      <c r="AF736" s="165"/>
      <c r="AG736" s="165"/>
      <c r="AH736" s="165"/>
      <c r="AI736" s="165"/>
      <c r="AJ736" s="165"/>
      <c r="AK736" s="165"/>
      <c r="AL736" s="165"/>
      <c r="AM736" s="165"/>
      <c r="AN736" s="165"/>
      <c r="AO736" s="165"/>
      <c r="AP736" s="165"/>
      <c r="AQ736" s="165"/>
    </row>
    <row r="737" ht="15.75" customHeight="1">
      <c r="H737" s="440"/>
      <c r="U737" s="441"/>
      <c r="V737" s="441"/>
      <c r="W737" s="441"/>
      <c r="X737" s="441"/>
      <c r="Y737" s="442"/>
      <c r="Z737" s="165"/>
      <c r="AA737" s="165"/>
      <c r="AB737" s="165"/>
      <c r="AC737" s="165"/>
      <c r="AD737" s="165"/>
      <c r="AE737" s="165"/>
      <c r="AF737" s="165"/>
      <c r="AG737" s="165"/>
      <c r="AH737" s="165"/>
      <c r="AI737" s="165"/>
      <c r="AJ737" s="165"/>
      <c r="AK737" s="165"/>
      <c r="AL737" s="165"/>
      <c r="AM737" s="165"/>
      <c r="AN737" s="165"/>
      <c r="AO737" s="165"/>
      <c r="AP737" s="165"/>
      <c r="AQ737" s="165"/>
    </row>
    <row r="738" ht="15.75" customHeight="1">
      <c r="H738" s="440"/>
      <c r="U738" s="441"/>
      <c r="V738" s="441"/>
      <c r="W738" s="441"/>
      <c r="X738" s="441"/>
      <c r="Y738" s="442"/>
      <c r="Z738" s="165"/>
      <c r="AA738" s="165"/>
      <c r="AB738" s="165"/>
      <c r="AC738" s="165"/>
      <c r="AD738" s="165"/>
      <c r="AE738" s="165"/>
      <c r="AF738" s="165"/>
      <c r="AG738" s="165"/>
      <c r="AH738" s="165"/>
      <c r="AI738" s="165"/>
      <c r="AJ738" s="165"/>
      <c r="AK738" s="165"/>
      <c r="AL738" s="165"/>
      <c r="AM738" s="165"/>
      <c r="AN738" s="165"/>
      <c r="AO738" s="165"/>
      <c r="AP738" s="165"/>
      <c r="AQ738" s="165"/>
    </row>
    <row r="739" ht="15.75" customHeight="1">
      <c r="H739" s="440"/>
      <c r="U739" s="441"/>
      <c r="V739" s="441"/>
      <c r="W739" s="441"/>
      <c r="X739" s="441"/>
      <c r="Y739" s="442"/>
      <c r="Z739" s="165"/>
      <c r="AA739" s="165"/>
      <c r="AB739" s="165"/>
      <c r="AC739" s="165"/>
      <c r="AD739" s="165"/>
      <c r="AE739" s="165"/>
      <c r="AF739" s="165"/>
      <c r="AG739" s="165"/>
      <c r="AH739" s="165"/>
      <c r="AI739" s="165"/>
      <c r="AJ739" s="165"/>
      <c r="AK739" s="165"/>
      <c r="AL739" s="165"/>
      <c r="AM739" s="165"/>
      <c r="AN739" s="165"/>
      <c r="AO739" s="165"/>
      <c r="AP739" s="165"/>
      <c r="AQ739" s="165"/>
    </row>
    <row r="740" ht="15.75" customHeight="1">
      <c r="H740" s="440"/>
      <c r="U740" s="441"/>
      <c r="V740" s="441"/>
      <c r="W740" s="441"/>
      <c r="X740" s="441"/>
      <c r="Y740" s="442"/>
      <c r="Z740" s="165"/>
      <c r="AA740" s="165"/>
      <c r="AB740" s="165"/>
      <c r="AC740" s="165"/>
      <c r="AD740" s="165"/>
      <c r="AE740" s="165"/>
      <c r="AF740" s="165"/>
      <c r="AG740" s="165"/>
      <c r="AH740" s="165"/>
      <c r="AI740" s="165"/>
      <c r="AJ740" s="165"/>
      <c r="AK740" s="165"/>
      <c r="AL740" s="165"/>
      <c r="AM740" s="165"/>
      <c r="AN740" s="165"/>
      <c r="AO740" s="165"/>
      <c r="AP740" s="165"/>
      <c r="AQ740" s="165"/>
    </row>
    <row r="741" ht="15.75" customHeight="1">
      <c r="H741" s="440"/>
      <c r="U741" s="441"/>
      <c r="V741" s="441"/>
      <c r="W741" s="441"/>
      <c r="X741" s="441"/>
      <c r="Y741" s="442"/>
      <c r="Z741" s="165"/>
      <c r="AA741" s="165"/>
      <c r="AB741" s="165"/>
      <c r="AC741" s="165"/>
      <c r="AD741" s="165"/>
      <c r="AE741" s="165"/>
      <c r="AF741" s="165"/>
      <c r="AG741" s="165"/>
      <c r="AH741" s="165"/>
      <c r="AI741" s="165"/>
      <c r="AJ741" s="165"/>
      <c r="AK741" s="165"/>
      <c r="AL741" s="165"/>
      <c r="AM741" s="165"/>
      <c r="AN741" s="165"/>
      <c r="AO741" s="165"/>
      <c r="AP741" s="165"/>
      <c r="AQ741" s="165"/>
    </row>
    <row r="742" ht="15.75" customHeight="1">
      <c r="H742" s="440"/>
      <c r="U742" s="441"/>
      <c r="V742" s="441"/>
      <c r="W742" s="441"/>
      <c r="X742" s="441"/>
      <c r="Y742" s="442"/>
      <c r="Z742" s="165"/>
      <c r="AA742" s="165"/>
      <c r="AB742" s="165"/>
      <c r="AC742" s="165"/>
      <c r="AD742" s="165"/>
      <c r="AE742" s="165"/>
      <c r="AF742" s="165"/>
      <c r="AG742" s="165"/>
      <c r="AH742" s="165"/>
      <c r="AI742" s="165"/>
      <c r="AJ742" s="165"/>
      <c r="AK742" s="165"/>
      <c r="AL742" s="165"/>
      <c r="AM742" s="165"/>
      <c r="AN742" s="165"/>
      <c r="AO742" s="165"/>
      <c r="AP742" s="165"/>
      <c r="AQ742" s="165"/>
    </row>
    <row r="743" ht="15.75" customHeight="1">
      <c r="H743" s="440"/>
      <c r="U743" s="441"/>
      <c r="V743" s="441"/>
      <c r="W743" s="441"/>
      <c r="X743" s="441"/>
      <c r="Y743" s="442"/>
      <c r="Z743" s="165"/>
      <c r="AA743" s="165"/>
      <c r="AB743" s="165"/>
      <c r="AC743" s="165"/>
      <c r="AD743" s="165"/>
      <c r="AE743" s="165"/>
      <c r="AF743" s="165"/>
      <c r="AG743" s="165"/>
      <c r="AH743" s="165"/>
      <c r="AI743" s="165"/>
      <c r="AJ743" s="165"/>
      <c r="AK743" s="165"/>
      <c r="AL743" s="165"/>
      <c r="AM743" s="165"/>
      <c r="AN743" s="165"/>
      <c r="AO743" s="165"/>
      <c r="AP743" s="165"/>
      <c r="AQ743" s="165"/>
    </row>
    <row r="744" ht="15.75" customHeight="1">
      <c r="H744" s="440"/>
      <c r="U744" s="441"/>
      <c r="V744" s="441"/>
      <c r="W744" s="441"/>
      <c r="X744" s="441"/>
      <c r="Y744" s="442"/>
      <c r="Z744" s="165"/>
      <c r="AA744" s="165"/>
      <c r="AB744" s="165"/>
      <c r="AC744" s="165"/>
      <c r="AD744" s="165"/>
      <c r="AE744" s="165"/>
      <c r="AF744" s="165"/>
      <c r="AG744" s="165"/>
      <c r="AH744" s="165"/>
      <c r="AI744" s="165"/>
      <c r="AJ744" s="165"/>
      <c r="AK744" s="165"/>
      <c r="AL744" s="165"/>
      <c r="AM744" s="165"/>
      <c r="AN744" s="165"/>
      <c r="AO744" s="165"/>
      <c r="AP744" s="165"/>
      <c r="AQ744" s="165"/>
    </row>
    <row r="745" ht="15.75" customHeight="1">
      <c r="H745" s="440"/>
      <c r="U745" s="441"/>
      <c r="V745" s="441"/>
      <c r="W745" s="441"/>
      <c r="X745" s="441"/>
      <c r="Y745" s="442"/>
      <c r="Z745" s="165"/>
      <c r="AA745" s="165"/>
      <c r="AB745" s="165"/>
      <c r="AC745" s="165"/>
      <c r="AD745" s="165"/>
      <c r="AE745" s="165"/>
      <c r="AF745" s="165"/>
      <c r="AG745" s="165"/>
      <c r="AH745" s="165"/>
      <c r="AI745" s="165"/>
      <c r="AJ745" s="165"/>
      <c r="AK745" s="165"/>
      <c r="AL745" s="165"/>
      <c r="AM745" s="165"/>
      <c r="AN745" s="165"/>
      <c r="AO745" s="165"/>
      <c r="AP745" s="165"/>
      <c r="AQ745" s="165"/>
    </row>
    <row r="746" ht="15.75" customHeight="1">
      <c r="H746" s="440"/>
      <c r="U746" s="441"/>
      <c r="V746" s="441"/>
      <c r="W746" s="441"/>
      <c r="X746" s="441"/>
      <c r="Y746" s="442"/>
      <c r="Z746" s="165"/>
      <c r="AA746" s="165"/>
      <c r="AB746" s="165"/>
      <c r="AC746" s="165"/>
      <c r="AD746" s="165"/>
      <c r="AE746" s="165"/>
      <c r="AF746" s="165"/>
      <c r="AG746" s="165"/>
      <c r="AH746" s="165"/>
      <c r="AI746" s="165"/>
      <c r="AJ746" s="165"/>
      <c r="AK746" s="165"/>
      <c r="AL746" s="165"/>
      <c r="AM746" s="165"/>
      <c r="AN746" s="165"/>
      <c r="AO746" s="165"/>
      <c r="AP746" s="165"/>
      <c r="AQ746" s="165"/>
    </row>
    <row r="747" ht="15.75" customHeight="1">
      <c r="H747" s="440"/>
      <c r="U747" s="441"/>
      <c r="V747" s="441"/>
      <c r="W747" s="441"/>
      <c r="X747" s="441"/>
      <c r="Y747" s="442"/>
      <c r="Z747" s="165"/>
      <c r="AA747" s="165"/>
      <c r="AB747" s="165"/>
      <c r="AC747" s="165"/>
      <c r="AD747" s="165"/>
      <c r="AE747" s="165"/>
      <c r="AF747" s="165"/>
      <c r="AG747" s="165"/>
      <c r="AH747" s="165"/>
      <c r="AI747" s="165"/>
      <c r="AJ747" s="165"/>
      <c r="AK747" s="165"/>
      <c r="AL747" s="165"/>
      <c r="AM747" s="165"/>
      <c r="AN747" s="165"/>
      <c r="AO747" s="165"/>
      <c r="AP747" s="165"/>
      <c r="AQ747" s="165"/>
    </row>
    <row r="748" ht="15.75" customHeight="1">
      <c r="H748" s="440"/>
      <c r="U748" s="441"/>
      <c r="V748" s="441"/>
      <c r="W748" s="441"/>
      <c r="X748" s="441"/>
      <c r="Y748" s="442"/>
      <c r="Z748" s="165"/>
      <c r="AA748" s="165"/>
      <c r="AB748" s="165"/>
      <c r="AC748" s="165"/>
      <c r="AD748" s="165"/>
      <c r="AE748" s="165"/>
      <c r="AF748" s="165"/>
      <c r="AG748" s="165"/>
      <c r="AH748" s="165"/>
      <c r="AI748" s="165"/>
      <c r="AJ748" s="165"/>
      <c r="AK748" s="165"/>
      <c r="AL748" s="165"/>
      <c r="AM748" s="165"/>
      <c r="AN748" s="165"/>
      <c r="AO748" s="165"/>
      <c r="AP748" s="165"/>
      <c r="AQ748" s="165"/>
    </row>
    <row r="749" ht="15.75" customHeight="1">
      <c r="H749" s="440"/>
      <c r="U749" s="441"/>
      <c r="V749" s="441"/>
      <c r="W749" s="441"/>
      <c r="X749" s="441"/>
      <c r="Y749" s="442"/>
      <c r="Z749" s="165"/>
      <c r="AA749" s="165"/>
      <c r="AB749" s="165"/>
      <c r="AC749" s="165"/>
      <c r="AD749" s="165"/>
      <c r="AE749" s="165"/>
      <c r="AF749" s="165"/>
      <c r="AG749" s="165"/>
      <c r="AH749" s="165"/>
      <c r="AI749" s="165"/>
      <c r="AJ749" s="165"/>
      <c r="AK749" s="165"/>
      <c r="AL749" s="165"/>
      <c r="AM749" s="165"/>
      <c r="AN749" s="165"/>
      <c r="AO749" s="165"/>
      <c r="AP749" s="165"/>
      <c r="AQ749" s="165"/>
    </row>
    <row r="750" ht="15.75" customHeight="1">
      <c r="H750" s="440"/>
      <c r="U750" s="441"/>
      <c r="V750" s="441"/>
      <c r="W750" s="441"/>
      <c r="X750" s="441"/>
      <c r="Y750" s="442"/>
      <c r="Z750" s="165"/>
      <c r="AA750" s="165"/>
      <c r="AB750" s="165"/>
      <c r="AC750" s="165"/>
      <c r="AD750" s="165"/>
      <c r="AE750" s="165"/>
      <c r="AF750" s="165"/>
      <c r="AG750" s="165"/>
      <c r="AH750" s="165"/>
      <c r="AI750" s="165"/>
      <c r="AJ750" s="165"/>
      <c r="AK750" s="165"/>
      <c r="AL750" s="165"/>
      <c r="AM750" s="165"/>
      <c r="AN750" s="165"/>
      <c r="AO750" s="165"/>
      <c r="AP750" s="165"/>
      <c r="AQ750" s="165"/>
    </row>
    <row r="751" ht="15.75" customHeight="1">
      <c r="H751" s="440"/>
      <c r="U751" s="441"/>
      <c r="V751" s="441"/>
      <c r="W751" s="441"/>
      <c r="X751" s="441"/>
      <c r="Y751" s="442"/>
      <c r="Z751" s="165"/>
      <c r="AA751" s="165"/>
      <c r="AB751" s="165"/>
      <c r="AC751" s="165"/>
      <c r="AD751" s="165"/>
      <c r="AE751" s="165"/>
      <c r="AF751" s="165"/>
      <c r="AG751" s="165"/>
      <c r="AH751" s="165"/>
      <c r="AI751" s="165"/>
      <c r="AJ751" s="165"/>
      <c r="AK751" s="165"/>
      <c r="AL751" s="165"/>
      <c r="AM751" s="165"/>
      <c r="AN751" s="165"/>
      <c r="AO751" s="165"/>
      <c r="AP751" s="165"/>
      <c r="AQ751" s="165"/>
    </row>
    <row r="752" ht="15.75" customHeight="1">
      <c r="H752" s="440"/>
      <c r="U752" s="441"/>
      <c r="V752" s="441"/>
      <c r="W752" s="441"/>
      <c r="X752" s="441"/>
      <c r="Y752" s="442"/>
      <c r="Z752" s="165"/>
      <c r="AA752" s="165"/>
      <c r="AB752" s="165"/>
      <c r="AC752" s="165"/>
      <c r="AD752" s="165"/>
      <c r="AE752" s="165"/>
      <c r="AF752" s="165"/>
      <c r="AG752" s="165"/>
      <c r="AH752" s="165"/>
      <c r="AI752" s="165"/>
      <c r="AJ752" s="165"/>
      <c r="AK752" s="165"/>
      <c r="AL752" s="165"/>
      <c r="AM752" s="165"/>
      <c r="AN752" s="165"/>
      <c r="AO752" s="165"/>
      <c r="AP752" s="165"/>
      <c r="AQ752" s="165"/>
    </row>
    <row r="753" ht="15.75" customHeight="1">
      <c r="H753" s="440"/>
      <c r="U753" s="441"/>
      <c r="V753" s="441"/>
      <c r="W753" s="441"/>
      <c r="X753" s="441"/>
      <c r="Y753" s="442"/>
      <c r="Z753" s="165"/>
      <c r="AA753" s="165"/>
      <c r="AB753" s="165"/>
      <c r="AC753" s="165"/>
      <c r="AD753" s="165"/>
      <c r="AE753" s="165"/>
      <c r="AF753" s="165"/>
      <c r="AG753" s="165"/>
      <c r="AH753" s="165"/>
      <c r="AI753" s="165"/>
      <c r="AJ753" s="165"/>
      <c r="AK753" s="165"/>
      <c r="AL753" s="165"/>
      <c r="AM753" s="165"/>
      <c r="AN753" s="165"/>
      <c r="AO753" s="165"/>
      <c r="AP753" s="165"/>
      <c r="AQ753" s="165"/>
    </row>
    <row r="754" ht="15.75" customHeight="1">
      <c r="H754" s="440"/>
      <c r="U754" s="441"/>
      <c r="V754" s="441"/>
      <c r="W754" s="441"/>
      <c r="X754" s="441"/>
      <c r="Y754" s="442"/>
      <c r="Z754" s="165"/>
      <c r="AA754" s="165"/>
      <c r="AB754" s="165"/>
      <c r="AC754" s="165"/>
      <c r="AD754" s="165"/>
      <c r="AE754" s="165"/>
      <c r="AF754" s="165"/>
      <c r="AG754" s="165"/>
      <c r="AH754" s="165"/>
      <c r="AI754" s="165"/>
      <c r="AJ754" s="165"/>
      <c r="AK754" s="165"/>
      <c r="AL754" s="165"/>
      <c r="AM754" s="165"/>
      <c r="AN754" s="165"/>
      <c r="AO754" s="165"/>
      <c r="AP754" s="165"/>
      <c r="AQ754" s="165"/>
    </row>
    <row r="755" ht="15.75" customHeight="1">
      <c r="H755" s="440"/>
      <c r="U755" s="441"/>
      <c r="V755" s="441"/>
      <c r="W755" s="441"/>
      <c r="X755" s="441"/>
      <c r="Y755" s="442"/>
      <c r="Z755" s="165"/>
      <c r="AA755" s="165"/>
      <c r="AB755" s="165"/>
      <c r="AC755" s="165"/>
      <c r="AD755" s="165"/>
      <c r="AE755" s="165"/>
      <c r="AF755" s="165"/>
      <c r="AG755" s="165"/>
      <c r="AH755" s="165"/>
      <c r="AI755" s="165"/>
      <c r="AJ755" s="165"/>
      <c r="AK755" s="165"/>
      <c r="AL755" s="165"/>
      <c r="AM755" s="165"/>
      <c r="AN755" s="165"/>
      <c r="AO755" s="165"/>
      <c r="AP755" s="165"/>
      <c r="AQ755" s="165"/>
    </row>
    <row r="756" ht="15.75" customHeight="1">
      <c r="H756" s="440"/>
      <c r="U756" s="441"/>
      <c r="V756" s="441"/>
      <c r="W756" s="441"/>
      <c r="X756" s="441"/>
      <c r="Y756" s="442"/>
      <c r="Z756" s="165"/>
      <c r="AA756" s="165"/>
      <c r="AB756" s="165"/>
      <c r="AC756" s="165"/>
      <c r="AD756" s="165"/>
      <c r="AE756" s="165"/>
      <c r="AF756" s="165"/>
      <c r="AG756" s="165"/>
      <c r="AH756" s="165"/>
      <c r="AI756" s="165"/>
      <c r="AJ756" s="165"/>
      <c r="AK756" s="165"/>
      <c r="AL756" s="165"/>
      <c r="AM756" s="165"/>
      <c r="AN756" s="165"/>
      <c r="AO756" s="165"/>
      <c r="AP756" s="165"/>
      <c r="AQ756" s="165"/>
    </row>
    <row r="757" ht="15.75" customHeight="1">
      <c r="H757" s="440"/>
      <c r="U757" s="441"/>
      <c r="V757" s="441"/>
      <c r="W757" s="441"/>
      <c r="X757" s="441"/>
      <c r="Y757" s="442"/>
      <c r="Z757" s="165"/>
      <c r="AA757" s="165"/>
      <c r="AB757" s="165"/>
      <c r="AC757" s="165"/>
      <c r="AD757" s="165"/>
      <c r="AE757" s="165"/>
      <c r="AF757" s="165"/>
      <c r="AG757" s="165"/>
      <c r="AH757" s="165"/>
      <c r="AI757" s="165"/>
      <c r="AJ757" s="165"/>
      <c r="AK757" s="165"/>
      <c r="AL757" s="165"/>
      <c r="AM757" s="165"/>
      <c r="AN757" s="165"/>
      <c r="AO757" s="165"/>
      <c r="AP757" s="165"/>
      <c r="AQ757" s="165"/>
    </row>
    <row r="758" ht="15.75" customHeight="1">
      <c r="H758" s="440"/>
      <c r="U758" s="441"/>
      <c r="V758" s="441"/>
      <c r="W758" s="441"/>
      <c r="X758" s="441"/>
      <c r="Y758" s="442"/>
      <c r="Z758" s="165"/>
      <c r="AA758" s="165"/>
      <c r="AB758" s="165"/>
      <c r="AC758" s="165"/>
      <c r="AD758" s="165"/>
      <c r="AE758" s="165"/>
      <c r="AF758" s="165"/>
      <c r="AG758" s="165"/>
      <c r="AH758" s="165"/>
      <c r="AI758" s="165"/>
      <c r="AJ758" s="165"/>
      <c r="AK758" s="165"/>
      <c r="AL758" s="165"/>
      <c r="AM758" s="165"/>
      <c r="AN758" s="165"/>
      <c r="AO758" s="165"/>
      <c r="AP758" s="165"/>
      <c r="AQ758" s="165"/>
    </row>
    <row r="759" ht="15.75" customHeight="1">
      <c r="H759" s="440"/>
      <c r="U759" s="441"/>
      <c r="V759" s="441"/>
      <c r="W759" s="441"/>
      <c r="X759" s="441"/>
      <c r="Y759" s="442"/>
      <c r="Z759" s="165"/>
      <c r="AA759" s="165"/>
      <c r="AB759" s="165"/>
      <c r="AC759" s="165"/>
      <c r="AD759" s="165"/>
      <c r="AE759" s="165"/>
      <c r="AF759" s="165"/>
      <c r="AG759" s="165"/>
      <c r="AH759" s="165"/>
      <c r="AI759" s="165"/>
      <c r="AJ759" s="165"/>
      <c r="AK759" s="165"/>
      <c r="AL759" s="165"/>
      <c r="AM759" s="165"/>
      <c r="AN759" s="165"/>
      <c r="AO759" s="165"/>
      <c r="AP759" s="165"/>
      <c r="AQ759" s="165"/>
    </row>
    <row r="760" ht="15.75" customHeight="1">
      <c r="H760" s="440"/>
      <c r="U760" s="441"/>
      <c r="V760" s="441"/>
      <c r="W760" s="441"/>
      <c r="X760" s="441"/>
      <c r="Y760" s="442"/>
      <c r="Z760" s="165"/>
      <c r="AA760" s="165"/>
      <c r="AB760" s="165"/>
      <c r="AC760" s="165"/>
      <c r="AD760" s="165"/>
      <c r="AE760" s="165"/>
      <c r="AF760" s="165"/>
      <c r="AG760" s="165"/>
      <c r="AH760" s="165"/>
      <c r="AI760" s="165"/>
      <c r="AJ760" s="165"/>
      <c r="AK760" s="165"/>
      <c r="AL760" s="165"/>
      <c r="AM760" s="165"/>
      <c r="AN760" s="165"/>
      <c r="AO760" s="165"/>
      <c r="AP760" s="165"/>
      <c r="AQ760" s="165"/>
    </row>
    <row r="761" ht="15.75" customHeight="1">
      <c r="H761" s="440"/>
      <c r="U761" s="441"/>
      <c r="V761" s="441"/>
      <c r="W761" s="441"/>
      <c r="X761" s="441"/>
      <c r="Y761" s="442"/>
      <c r="Z761" s="165"/>
      <c r="AA761" s="165"/>
      <c r="AB761" s="165"/>
      <c r="AC761" s="165"/>
      <c r="AD761" s="165"/>
      <c r="AE761" s="165"/>
      <c r="AF761" s="165"/>
      <c r="AG761" s="165"/>
      <c r="AH761" s="165"/>
      <c r="AI761" s="165"/>
      <c r="AJ761" s="165"/>
      <c r="AK761" s="165"/>
      <c r="AL761" s="165"/>
      <c r="AM761" s="165"/>
      <c r="AN761" s="165"/>
      <c r="AO761" s="165"/>
      <c r="AP761" s="165"/>
      <c r="AQ761" s="165"/>
    </row>
    <row r="762" ht="15.75" customHeight="1">
      <c r="H762" s="440"/>
      <c r="U762" s="441"/>
      <c r="V762" s="441"/>
      <c r="W762" s="441"/>
      <c r="X762" s="441"/>
      <c r="Y762" s="442"/>
      <c r="Z762" s="165"/>
      <c r="AA762" s="165"/>
      <c r="AB762" s="165"/>
      <c r="AC762" s="165"/>
      <c r="AD762" s="165"/>
      <c r="AE762" s="165"/>
      <c r="AF762" s="165"/>
      <c r="AG762" s="165"/>
      <c r="AH762" s="165"/>
      <c r="AI762" s="165"/>
      <c r="AJ762" s="165"/>
      <c r="AK762" s="165"/>
      <c r="AL762" s="165"/>
      <c r="AM762" s="165"/>
      <c r="AN762" s="165"/>
      <c r="AO762" s="165"/>
      <c r="AP762" s="165"/>
      <c r="AQ762" s="165"/>
    </row>
    <row r="763" ht="15.75" customHeight="1">
      <c r="H763" s="440"/>
      <c r="U763" s="441"/>
      <c r="V763" s="441"/>
      <c r="W763" s="441"/>
      <c r="X763" s="441"/>
      <c r="Y763" s="442"/>
      <c r="Z763" s="165"/>
      <c r="AA763" s="165"/>
      <c r="AB763" s="165"/>
      <c r="AC763" s="165"/>
      <c r="AD763" s="165"/>
      <c r="AE763" s="165"/>
      <c r="AF763" s="165"/>
      <c r="AG763" s="165"/>
      <c r="AH763" s="165"/>
      <c r="AI763" s="165"/>
      <c r="AJ763" s="165"/>
      <c r="AK763" s="165"/>
      <c r="AL763" s="165"/>
      <c r="AM763" s="165"/>
      <c r="AN763" s="165"/>
      <c r="AO763" s="165"/>
      <c r="AP763" s="165"/>
      <c r="AQ763" s="165"/>
    </row>
    <row r="764" ht="15.75" customHeight="1">
      <c r="H764" s="440"/>
      <c r="U764" s="441"/>
      <c r="V764" s="441"/>
      <c r="W764" s="441"/>
      <c r="X764" s="441"/>
      <c r="Y764" s="442"/>
      <c r="Z764" s="165"/>
      <c r="AA764" s="165"/>
      <c r="AB764" s="165"/>
      <c r="AC764" s="165"/>
      <c r="AD764" s="165"/>
      <c r="AE764" s="165"/>
      <c r="AF764" s="165"/>
      <c r="AG764" s="165"/>
      <c r="AH764" s="165"/>
      <c r="AI764" s="165"/>
      <c r="AJ764" s="165"/>
      <c r="AK764" s="165"/>
      <c r="AL764" s="165"/>
      <c r="AM764" s="165"/>
      <c r="AN764" s="165"/>
      <c r="AO764" s="165"/>
      <c r="AP764" s="165"/>
      <c r="AQ764" s="165"/>
    </row>
    <row r="765" ht="15.75" customHeight="1">
      <c r="H765" s="440"/>
      <c r="U765" s="441"/>
      <c r="V765" s="441"/>
      <c r="W765" s="441"/>
      <c r="X765" s="441"/>
      <c r="Y765" s="442"/>
      <c r="Z765" s="165"/>
      <c r="AA765" s="165"/>
      <c r="AB765" s="165"/>
      <c r="AC765" s="165"/>
      <c r="AD765" s="165"/>
      <c r="AE765" s="165"/>
      <c r="AF765" s="165"/>
      <c r="AG765" s="165"/>
      <c r="AH765" s="165"/>
      <c r="AI765" s="165"/>
      <c r="AJ765" s="165"/>
      <c r="AK765" s="165"/>
      <c r="AL765" s="165"/>
      <c r="AM765" s="165"/>
      <c r="AN765" s="165"/>
      <c r="AO765" s="165"/>
      <c r="AP765" s="165"/>
      <c r="AQ765" s="165"/>
    </row>
    <row r="766" ht="15.75" customHeight="1">
      <c r="H766" s="440"/>
      <c r="U766" s="441"/>
      <c r="V766" s="441"/>
      <c r="W766" s="441"/>
      <c r="X766" s="441"/>
      <c r="Y766" s="442"/>
      <c r="Z766" s="165"/>
      <c r="AA766" s="165"/>
      <c r="AB766" s="165"/>
      <c r="AC766" s="165"/>
      <c r="AD766" s="165"/>
      <c r="AE766" s="165"/>
      <c r="AF766" s="165"/>
      <c r="AG766" s="165"/>
      <c r="AH766" s="165"/>
      <c r="AI766" s="165"/>
      <c r="AJ766" s="165"/>
      <c r="AK766" s="165"/>
      <c r="AL766" s="165"/>
      <c r="AM766" s="165"/>
      <c r="AN766" s="165"/>
      <c r="AO766" s="165"/>
      <c r="AP766" s="165"/>
      <c r="AQ766" s="165"/>
    </row>
    <row r="767" ht="15.75" customHeight="1">
      <c r="H767" s="440"/>
      <c r="U767" s="441"/>
      <c r="V767" s="441"/>
      <c r="W767" s="441"/>
      <c r="X767" s="441"/>
      <c r="Y767" s="442"/>
      <c r="Z767" s="165"/>
      <c r="AA767" s="165"/>
      <c r="AB767" s="165"/>
      <c r="AC767" s="165"/>
      <c r="AD767" s="165"/>
      <c r="AE767" s="165"/>
      <c r="AF767" s="165"/>
      <c r="AG767" s="165"/>
      <c r="AH767" s="165"/>
      <c r="AI767" s="165"/>
      <c r="AJ767" s="165"/>
      <c r="AK767" s="165"/>
      <c r="AL767" s="165"/>
      <c r="AM767" s="165"/>
      <c r="AN767" s="165"/>
      <c r="AO767" s="165"/>
      <c r="AP767" s="165"/>
      <c r="AQ767" s="165"/>
    </row>
    <row r="768" ht="15.75" customHeight="1">
      <c r="H768" s="440"/>
      <c r="U768" s="441"/>
      <c r="V768" s="441"/>
      <c r="W768" s="441"/>
      <c r="X768" s="441"/>
      <c r="Y768" s="442"/>
      <c r="Z768" s="165"/>
      <c r="AA768" s="165"/>
      <c r="AB768" s="165"/>
      <c r="AC768" s="165"/>
      <c r="AD768" s="165"/>
      <c r="AE768" s="165"/>
      <c r="AF768" s="165"/>
      <c r="AG768" s="165"/>
      <c r="AH768" s="165"/>
      <c r="AI768" s="165"/>
      <c r="AJ768" s="165"/>
      <c r="AK768" s="165"/>
      <c r="AL768" s="165"/>
      <c r="AM768" s="165"/>
      <c r="AN768" s="165"/>
      <c r="AO768" s="165"/>
      <c r="AP768" s="165"/>
      <c r="AQ768" s="165"/>
    </row>
    <row r="769" ht="15.75" customHeight="1">
      <c r="H769" s="440"/>
      <c r="U769" s="441"/>
      <c r="V769" s="441"/>
      <c r="W769" s="441"/>
      <c r="X769" s="441"/>
      <c r="Y769" s="442"/>
      <c r="Z769" s="165"/>
      <c r="AA769" s="165"/>
      <c r="AB769" s="165"/>
      <c r="AC769" s="165"/>
      <c r="AD769" s="165"/>
      <c r="AE769" s="165"/>
      <c r="AF769" s="165"/>
      <c r="AG769" s="165"/>
      <c r="AH769" s="165"/>
      <c r="AI769" s="165"/>
      <c r="AJ769" s="165"/>
      <c r="AK769" s="165"/>
      <c r="AL769" s="165"/>
      <c r="AM769" s="165"/>
      <c r="AN769" s="165"/>
      <c r="AO769" s="165"/>
      <c r="AP769" s="165"/>
      <c r="AQ769" s="165"/>
    </row>
    <row r="770" ht="15.75" customHeight="1">
      <c r="H770" s="440"/>
      <c r="U770" s="441"/>
      <c r="V770" s="441"/>
      <c r="W770" s="441"/>
      <c r="X770" s="441"/>
      <c r="Y770" s="442"/>
      <c r="Z770" s="165"/>
      <c r="AA770" s="165"/>
      <c r="AB770" s="165"/>
      <c r="AC770" s="165"/>
      <c r="AD770" s="165"/>
      <c r="AE770" s="165"/>
      <c r="AF770" s="165"/>
      <c r="AG770" s="165"/>
      <c r="AH770" s="165"/>
      <c r="AI770" s="165"/>
      <c r="AJ770" s="165"/>
      <c r="AK770" s="165"/>
      <c r="AL770" s="165"/>
      <c r="AM770" s="165"/>
      <c r="AN770" s="165"/>
      <c r="AO770" s="165"/>
      <c r="AP770" s="165"/>
      <c r="AQ770" s="165"/>
    </row>
    <row r="771" ht="15.75" customHeight="1">
      <c r="H771" s="440"/>
      <c r="U771" s="441"/>
      <c r="V771" s="441"/>
      <c r="W771" s="441"/>
      <c r="X771" s="441"/>
      <c r="Y771" s="442"/>
      <c r="Z771" s="165"/>
      <c r="AA771" s="165"/>
      <c r="AB771" s="165"/>
      <c r="AC771" s="165"/>
      <c r="AD771" s="165"/>
      <c r="AE771" s="165"/>
      <c r="AF771" s="165"/>
      <c r="AG771" s="165"/>
      <c r="AH771" s="165"/>
      <c r="AI771" s="165"/>
      <c r="AJ771" s="165"/>
      <c r="AK771" s="165"/>
      <c r="AL771" s="165"/>
      <c r="AM771" s="165"/>
      <c r="AN771" s="165"/>
      <c r="AO771" s="165"/>
      <c r="AP771" s="165"/>
      <c r="AQ771" s="165"/>
    </row>
    <row r="772" ht="15.75" customHeight="1">
      <c r="H772" s="440"/>
      <c r="U772" s="441"/>
      <c r="V772" s="441"/>
      <c r="W772" s="441"/>
      <c r="X772" s="441"/>
      <c r="Y772" s="442"/>
      <c r="Z772" s="165"/>
      <c r="AA772" s="165"/>
      <c r="AB772" s="165"/>
      <c r="AC772" s="165"/>
      <c r="AD772" s="165"/>
      <c r="AE772" s="165"/>
      <c r="AF772" s="165"/>
      <c r="AG772" s="165"/>
      <c r="AH772" s="165"/>
      <c r="AI772" s="165"/>
      <c r="AJ772" s="165"/>
      <c r="AK772" s="165"/>
      <c r="AL772" s="165"/>
      <c r="AM772" s="165"/>
      <c r="AN772" s="165"/>
      <c r="AO772" s="165"/>
      <c r="AP772" s="165"/>
      <c r="AQ772" s="165"/>
    </row>
    <row r="773" ht="15.75" customHeight="1">
      <c r="H773" s="440"/>
      <c r="U773" s="441"/>
      <c r="V773" s="441"/>
      <c r="W773" s="441"/>
      <c r="X773" s="441"/>
      <c r="Y773" s="442"/>
      <c r="Z773" s="165"/>
      <c r="AA773" s="165"/>
      <c r="AB773" s="165"/>
      <c r="AC773" s="165"/>
      <c r="AD773" s="165"/>
      <c r="AE773" s="165"/>
      <c r="AF773" s="165"/>
      <c r="AG773" s="165"/>
      <c r="AH773" s="165"/>
      <c r="AI773" s="165"/>
      <c r="AJ773" s="165"/>
      <c r="AK773" s="165"/>
      <c r="AL773" s="165"/>
      <c r="AM773" s="165"/>
      <c r="AN773" s="165"/>
      <c r="AO773" s="165"/>
      <c r="AP773" s="165"/>
      <c r="AQ773" s="165"/>
    </row>
    <row r="774" ht="15.75" customHeight="1">
      <c r="H774" s="440"/>
      <c r="U774" s="441"/>
      <c r="V774" s="441"/>
      <c r="W774" s="441"/>
      <c r="X774" s="441"/>
      <c r="Y774" s="442"/>
      <c r="Z774" s="165"/>
      <c r="AA774" s="165"/>
      <c r="AB774" s="165"/>
      <c r="AC774" s="165"/>
      <c r="AD774" s="165"/>
      <c r="AE774" s="165"/>
      <c r="AF774" s="165"/>
      <c r="AG774" s="165"/>
      <c r="AH774" s="165"/>
      <c r="AI774" s="165"/>
      <c r="AJ774" s="165"/>
      <c r="AK774" s="165"/>
      <c r="AL774" s="165"/>
      <c r="AM774" s="165"/>
      <c r="AN774" s="165"/>
      <c r="AO774" s="165"/>
      <c r="AP774" s="165"/>
      <c r="AQ774" s="165"/>
    </row>
    <row r="775" ht="15.75" customHeight="1">
      <c r="H775" s="440"/>
      <c r="U775" s="441"/>
      <c r="V775" s="441"/>
      <c r="W775" s="441"/>
      <c r="X775" s="441"/>
      <c r="Y775" s="442"/>
      <c r="Z775" s="165"/>
      <c r="AA775" s="165"/>
      <c r="AB775" s="165"/>
      <c r="AC775" s="165"/>
      <c r="AD775" s="165"/>
      <c r="AE775" s="165"/>
      <c r="AF775" s="165"/>
      <c r="AG775" s="165"/>
      <c r="AH775" s="165"/>
      <c r="AI775" s="165"/>
      <c r="AJ775" s="165"/>
      <c r="AK775" s="165"/>
      <c r="AL775" s="165"/>
      <c r="AM775" s="165"/>
      <c r="AN775" s="165"/>
      <c r="AO775" s="165"/>
      <c r="AP775" s="165"/>
      <c r="AQ775" s="165"/>
    </row>
    <row r="776" ht="15.75" customHeight="1">
      <c r="H776" s="440"/>
      <c r="U776" s="441"/>
      <c r="V776" s="441"/>
      <c r="W776" s="441"/>
      <c r="X776" s="441"/>
      <c r="Y776" s="442"/>
      <c r="Z776" s="165"/>
      <c r="AA776" s="165"/>
      <c r="AB776" s="165"/>
      <c r="AC776" s="165"/>
      <c r="AD776" s="165"/>
      <c r="AE776" s="165"/>
      <c r="AF776" s="165"/>
      <c r="AG776" s="165"/>
      <c r="AH776" s="165"/>
      <c r="AI776" s="165"/>
      <c r="AJ776" s="165"/>
      <c r="AK776" s="165"/>
      <c r="AL776" s="165"/>
      <c r="AM776" s="165"/>
      <c r="AN776" s="165"/>
      <c r="AO776" s="165"/>
      <c r="AP776" s="165"/>
      <c r="AQ776" s="165"/>
    </row>
    <row r="777" ht="15.75" customHeight="1">
      <c r="H777" s="440"/>
      <c r="U777" s="441"/>
      <c r="V777" s="441"/>
      <c r="W777" s="441"/>
      <c r="X777" s="441"/>
      <c r="Y777" s="442"/>
      <c r="Z777" s="165"/>
      <c r="AA777" s="165"/>
      <c r="AB777" s="165"/>
      <c r="AC777" s="165"/>
      <c r="AD777" s="165"/>
      <c r="AE777" s="165"/>
      <c r="AF777" s="165"/>
      <c r="AG777" s="165"/>
      <c r="AH777" s="165"/>
      <c r="AI777" s="165"/>
      <c r="AJ777" s="165"/>
      <c r="AK777" s="165"/>
      <c r="AL777" s="165"/>
      <c r="AM777" s="165"/>
      <c r="AN777" s="165"/>
      <c r="AO777" s="165"/>
      <c r="AP777" s="165"/>
      <c r="AQ777" s="165"/>
    </row>
    <row r="778" ht="15.75" customHeight="1">
      <c r="H778" s="440"/>
      <c r="U778" s="441"/>
      <c r="V778" s="441"/>
      <c r="W778" s="441"/>
      <c r="X778" s="441"/>
      <c r="Y778" s="442"/>
      <c r="Z778" s="165"/>
      <c r="AA778" s="165"/>
      <c r="AB778" s="165"/>
      <c r="AC778" s="165"/>
      <c r="AD778" s="165"/>
      <c r="AE778" s="165"/>
      <c r="AF778" s="165"/>
      <c r="AG778" s="165"/>
      <c r="AH778" s="165"/>
      <c r="AI778" s="165"/>
      <c r="AJ778" s="165"/>
      <c r="AK778" s="165"/>
      <c r="AL778" s="165"/>
      <c r="AM778" s="165"/>
      <c r="AN778" s="165"/>
      <c r="AO778" s="165"/>
      <c r="AP778" s="165"/>
      <c r="AQ778" s="165"/>
    </row>
    <row r="779" ht="15.75" customHeight="1">
      <c r="H779" s="440"/>
      <c r="U779" s="441"/>
      <c r="V779" s="441"/>
      <c r="W779" s="441"/>
      <c r="X779" s="441"/>
      <c r="Y779" s="442"/>
      <c r="Z779" s="165"/>
      <c r="AA779" s="165"/>
      <c r="AB779" s="165"/>
      <c r="AC779" s="165"/>
      <c r="AD779" s="165"/>
      <c r="AE779" s="165"/>
      <c r="AF779" s="165"/>
      <c r="AG779" s="165"/>
      <c r="AH779" s="165"/>
      <c r="AI779" s="165"/>
      <c r="AJ779" s="165"/>
      <c r="AK779" s="165"/>
      <c r="AL779" s="165"/>
      <c r="AM779" s="165"/>
      <c r="AN779" s="165"/>
      <c r="AO779" s="165"/>
      <c r="AP779" s="165"/>
      <c r="AQ779" s="165"/>
    </row>
    <row r="780" ht="15.75" customHeight="1">
      <c r="H780" s="440"/>
      <c r="U780" s="441"/>
      <c r="V780" s="441"/>
      <c r="W780" s="441"/>
      <c r="X780" s="441"/>
      <c r="Y780" s="442"/>
      <c r="Z780" s="165"/>
      <c r="AA780" s="165"/>
      <c r="AB780" s="165"/>
      <c r="AC780" s="165"/>
      <c r="AD780" s="165"/>
      <c r="AE780" s="165"/>
      <c r="AF780" s="165"/>
      <c r="AG780" s="165"/>
      <c r="AH780" s="165"/>
      <c r="AI780" s="165"/>
      <c r="AJ780" s="165"/>
      <c r="AK780" s="165"/>
      <c r="AL780" s="165"/>
      <c r="AM780" s="165"/>
      <c r="AN780" s="165"/>
      <c r="AO780" s="165"/>
      <c r="AP780" s="165"/>
      <c r="AQ780" s="165"/>
    </row>
    <row r="781" ht="15.75" customHeight="1">
      <c r="H781" s="440"/>
      <c r="U781" s="441"/>
      <c r="V781" s="441"/>
      <c r="W781" s="441"/>
      <c r="X781" s="441"/>
      <c r="Y781" s="442"/>
      <c r="Z781" s="165"/>
      <c r="AA781" s="165"/>
      <c r="AB781" s="165"/>
      <c r="AC781" s="165"/>
      <c r="AD781" s="165"/>
      <c r="AE781" s="165"/>
      <c r="AF781" s="165"/>
      <c r="AG781" s="165"/>
      <c r="AH781" s="165"/>
      <c r="AI781" s="165"/>
      <c r="AJ781" s="165"/>
      <c r="AK781" s="165"/>
      <c r="AL781" s="165"/>
      <c r="AM781" s="165"/>
      <c r="AN781" s="165"/>
      <c r="AO781" s="165"/>
      <c r="AP781" s="165"/>
      <c r="AQ781" s="165"/>
    </row>
    <row r="782" ht="15.75" customHeight="1">
      <c r="H782" s="440"/>
      <c r="U782" s="441"/>
      <c r="V782" s="441"/>
      <c r="W782" s="441"/>
      <c r="X782" s="441"/>
      <c r="Y782" s="442"/>
      <c r="Z782" s="165"/>
      <c r="AA782" s="165"/>
      <c r="AB782" s="165"/>
      <c r="AC782" s="165"/>
      <c r="AD782" s="165"/>
      <c r="AE782" s="165"/>
      <c r="AF782" s="165"/>
      <c r="AG782" s="165"/>
      <c r="AH782" s="165"/>
      <c r="AI782" s="165"/>
      <c r="AJ782" s="165"/>
      <c r="AK782" s="165"/>
      <c r="AL782" s="165"/>
      <c r="AM782" s="165"/>
      <c r="AN782" s="165"/>
      <c r="AO782" s="165"/>
      <c r="AP782" s="165"/>
      <c r="AQ782" s="165"/>
    </row>
    <row r="783" ht="15.75" customHeight="1">
      <c r="H783" s="440"/>
      <c r="U783" s="441"/>
      <c r="V783" s="441"/>
      <c r="W783" s="441"/>
      <c r="X783" s="441"/>
      <c r="Y783" s="442"/>
      <c r="Z783" s="165"/>
      <c r="AA783" s="165"/>
      <c r="AB783" s="165"/>
      <c r="AC783" s="165"/>
      <c r="AD783" s="165"/>
      <c r="AE783" s="165"/>
      <c r="AF783" s="165"/>
      <c r="AG783" s="165"/>
      <c r="AH783" s="165"/>
      <c r="AI783" s="165"/>
      <c r="AJ783" s="165"/>
      <c r="AK783" s="165"/>
      <c r="AL783" s="165"/>
      <c r="AM783" s="165"/>
      <c r="AN783" s="165"/>
      <c r="AO783" s="165"/>
      <c r="AP783" s="165"/>
      <c r="AQ783" s="165"/>
    </row>
    <row r="784" ht="15.75" customHeight="1">
      <c r="H784" s="440"/>
      <c r="U784" s="441"/>
      <c r="V784" s="441"/>
      <c r="W784" s="441"/>
      <c r="X784" s="441"/>
      <c r="Y784" s="442"/>
      <c r="Z784" s="165"/>
      <c r="AA784" s="165"/>
      <c r="AB784" s="165"/>
      <c r="AC784" s="165"/>
      <c r="AD784" s="165"/>
      <c r="AE784" s="165"/>
      <c r="AF784" s="165"/>
      <c r="AG784" s="165"/>
      <c r="AH784" s="165"/>
      <c r="AI784" s="165"/>
      <c r="AJ784" s="165"/>
      <c r="AK784" s="165"/>
      <c r="AL784" s="165"/>
      <c r="AM784" s="165"/>
      <c r="AN784" s="165"/>
      <c r="AO784" s="165"/>
      <c r="AP784" s="165"/>
      <c r="AQ784" s="165"/>
    </row>
    <row r="785" ht="15.75" customHeight="1">
      <c r="H785" s="440"/>
      <c r="U785" s="441"/>
      <c r="V785" s="441"/>
      <c r="W785" s="441"/>
      <c r="X785" s="441"/>
      <c r="Y785" s="442"/>
      <c r="Z785" s="165"/>
      <c r="AA785" s="165"/>
      <c r="AB785" s="165"/>
      <c r="AC785" s="165"/>
      <c r="AD785" s="165"/>
      <c r="AE785" s="165"/>
      <c r="AF785" s="165"/>
      <c r="AG785" s="165"/>
      <c r="AH785" s="165"/>
      <c r="AI785" s="165"/>
      <c r="AJ785" s="165"/>
      <c r="AK785" s="165"/>
      <c r="AL785" s="165"/>
      <c r="AM785" s="165"/>
      <c r="AN785" s="165"/>
      <c r="AO785" s="165"/>
      <c r="AP785" s="165"/>
      <c r="AQ785" s="165"/>
    </row>
    <row r="786" ht="15.75" customHeight="1">
      <c r="H786" s="440"/>
      <c r="U786" s="441"/>
      <c r="V786" s="441"/>
      <c r="W786" s="441"/>
      <c r="X786" s="441"/>
      <c r="Y786" s="442"/>
      <c r="Z786" s="165"/>
      <c r="AA786" s="165"/>
      <c r="AB786" s="165"/>
      <c r="AC786" s="165"/>
      <c r="AD786" s="165"/>
      <c r="AE786" s="165"/>
      <c r="AF786" s="165"/>
      <c r="AG786" s="165"/>
      <c r="AH786" s="165"/>
      <c r="AI786" s="165"/>
      <c r="AJ786" s="165"/>
      <c r="AK786" s="165"/>
      <c r="AL786" s="165"/>
      <c r="AM786" s="165"/>
      <c r="AN786" s="165"/>
      <c r="AO786" s="165"/>
      <c r="AP786" s="165"/>
      <c r="AQ786" s="165"/>
    </row>
    <row r="787" ht="15.75" customHeight="1">
      <c r="H787" s="440"/>
      <c r="U787" s="441"/>
      <c r="V787" s="441"/>
      <c r="W787" s="441"/>
      <c r="X787" s="441"/>
      <c r="Y787" s="442"/>
      <c r="Z787" s="165"/>
      <c r="AA787" s="165"/>
      <c r="AB787" s="165"/>
      <c r="AC787" s="165"/>
      <c r="AD787" s="165"/>
      <c r="AE787" s="165"/>
      <c r="AF787" s="165"/>
      <c r="AG787" s="165"/>
      <c r="AH787" s="165"/>
      <c r="AI787" s="165"/>
      <c r="AJ787" s="165"/>
      <c r="AK787" s="165"/>
      <c r="AL787" s="165"/>
      <c r="AM787" s="165"/>
      <c r="AN787" s="165"/>
      <c r="AO787" s="165"/>
      <c r="AP787" s="165"/>
      <c r="AQ787" s="165"/>
    </row>
    <row r="788" ht="15.75" customHeight="1">
      <c r="H788" s="440"/>
      <c r="U788" s="441"/>
      <c r="V788" s="441"/>
      <c r="W788" s="441"/>
      <c r="X788" s="441"/>
      <c r="Y788" s="442"/>
      <c r="Z788" s="165"/>
      <c r="AA788" s="165"/>
      <c r="AB788" s="165"/>
      <c r="AC788" s="165"/>
      <c r="AD788" s="165"/>
      <c r="AE788" s="165"/>
      <c r="AF788" s="165"/>
      <c r="AG788" s="165"/>
      <c r="AH788" s="165"/>
      <c r="AI788" s="165"/>
      <c r="AJ788" s="165"/>
      <c r="AK788" s="165"/>
      <c r="AL788" s="165"/>
      <c r="AM788" s="165"/>
      <c r="AN788" s="165"/>
      <c r="AO788" s="165"/>
      <c r="AP788" s="165"/>
      <c r="AQ788" s="165"/>
    </row>
    <row r="789" ht="15.75" customHeight="1">
      <c r="H789" s="440"/>
      <c r="U789" s="441"/>
      <c r="V789" s="441"/>
      <c r="W789" s="441"/>
      <c r="X789" s="441"/>
      <c r="Y789" s="442"/>
      <c r="Z789" s="165"/>
      <c r="AA789" s="165"/>
      <c r="AB789" s="165"/>
      <c r="AC789" s="165"/>
      <c r="AD789" s="165"/>
      <c r="AE789" s="165"/>
      <c r="AF789" s="165"/>
      <c r="AG789" s="165"/>
      <c r="AH789" s="165"/>
      <c r="AI789" s="165"/>
      <c r="AJ789" s="165"/>
      <c r="AK789" s="165"/>
      <c r="AL789" s="165"/>
      <c r="AM789" s="165"/>
      <c r="AN789" s="165"/>
      <c r="AO789" s="165"/>
      <c r="AP789" s="165"/>
      <c r="AQ789" s="165"/>
    </row>
    <row r="790" ht="15.75" customHeight="1">
      <c r="H790" s="440"/>
      <c r="U790" s="441"/>
      <c r="V790" s="441"/>
      <c r="W790" s="441"/>
      <c r="X790" s="441"/>
      <c r="Y790" s="442"/>
      <c r="Z790" s="165"/>
      <c r="AA790" s="165"/>
      <c r="AB790" s="165"/>
      <c r="AC790" s="165"/>
      <c r="AD790" s="165"/>
      <c r="AE790" s="165"/>
      <c r="AF790" s="165"/>
      <c r="AG790" s="165"/>
      <c r="AH790" s="165"/>
      <c r="AI790" s="165"/>
      <c r="AJ790" s="165"/>
      <c r="AK790" s="165"/>
      <c r="AL790" s="165"/>
      <c r="AM790" s="165"/>
      <c r="AN790" s="165"/>
      <c r="AO790" s="165"/>
      <c r="AP790" s="165"/>
      <c r="AQ790" s="165"/>
    </row>
    <row r="791" ht="15.75" customHeight="1">
      <c r="H791" s="440"/>
      <c r="U791" s="441"/>
      <c r="V791" s="441"/>
      <c r="W791" s="441"/>
      <c r="X791" s="441"/>
      <c r="Y791" s="442"/>
      <c r="Z791" s="165"/>
      <c r="AA791" s="165"/>
      <c r="AB791" s="165"/>
      <c r="AC791" s="165"/>
      <c r="AD791" s="165"/>
      <c r="AE791" s="165"/>
      <c r="AF791" s="165"/>
      <c r="AG791" s="165"/>
      <c r="AH791" s="165"/>
      <c r="AI791" s="165"/>
      <c r="AJ791" s="165"/>
      <c r="AK791" s="165"/>
      <c r="AL791" s="165"/>
      <c r="AM791" s="165"/>
      <c r="AN791" s="165"/>
      <c r="AO791" s="165"/>
      <c r="AP791" s="165"/>
      <c r="AQ791" s="165"/>
    </row>
    <row r="792" ht="15.75" customHeight="1">
      <c r="H792" s="440"/>
      <c r="U792" s="441"/>
      <c r="V792" s="441"/>
      <c r="W792" s="441"/>
      <c r="X792" s="441"/>
      <c r="Y792" s="442"/>
      <c r="Z792" s="165"/>
      <c r="AA792" s="165"/>
      <c r="AB792" s="165"/>
      <c r="AC792" s="165"/>
      <c r="AD792" s="165"/>
      <c r="AE792" s="165"/>
      <c r="AF792" s="165"/>
      <c r="AG792" s="165"/>
      <c r="AH792" s="165"/>
      <c r="AI792" s="165"/>
      <c r="AJ792" s="165"/>
      <c r="AK792" s="165"/>
      <c r="AL792" s="165"/>
      <c r="AM792" s="165"/>
      <c r="AN792" s="165"/>
      <c r="AO792" s="165"/>
      <c r="AP792" s="165"/>
      <c r="AQ792" s="165"/>
    </row>
    <row r="793" ht="15.75" customHeight="1">
      <c r="H793" s="440"/>
      <c r="U793" s="441"/>
      <c r="V793" s="441"/>
      <c r="W793" s="441"/>
      <c r="X793" s="441"/>
      <c r="Y793" s="442"/>
      <c r="Z793" s="165"/>
      <c r="AA793" s="165"/>
      <c r="AB793" s="165"/>
      <c r="AC793" s="165"/>
      <c r="AD793" s="165"/>
      <c r="AE793" s="165"/>
      <c r="AF793" s="165"/>
      <c r="AG793" s="165"/>
      <c r="AH793" s="165"/>
      <c r="AI793" s="165"/>
      <c r="AJ793" s="165"/>
      <c r="AK793" s="165"/>
      <c r="AL793" s="165"/>
      <c r="AM793" s="165"/>
      <c r="AN793" s="165"/>
      <c r="AO793" s="165"/>
      <c r="AP793" s="165"/>
      <c r="AQ793" s="165"/>
    </row>
    <row r="794" ht="15.75" customHeight="1">
      <c r="H794" s="440"/>
      <c r="U794" s="441"/>
      <c r="V794" s="441"/>
      <c r="W794" s="441"/>
      <c r="X794" s="441"/>
      <c r="Y794" s="442"/>
      <c r="Z794" s="165"/>
      <c r="AA794" s="165"/>
      <c r="AB794" s="165"/>
      <c r="AC794" s="165"/>
      <c r="AD794" s="165"/>
      <c r="AE794" s="165"/>
      <c r="AF794" s="165"/>
      <c r="AG794" s="165"/>
      <c r="AH794" s="165"/>
      <c r="AI794" s="165"/>
      <c r="AJ794" s="165"/>
      <c r="AK794" s="165"/>
      <c r="AL794" s="165"/>
      <c r="AM794" s="165"/>
      <c r="AN794" s="165"/>
      <c r="AO794" s="165"/>
      <c r="AP794" s="165"/>
      <c r="AQ794" s="165"/>
    </row>
    <row r="795" ht="15.75" customHeight="1">
      <c r="H795" s="440"/>
      <c r="U795" s="441"/>
      <c r="V795" s="441"/>
      <c r="W795" s="441"/>
      <c r="X795" s="441"/>
      <c r="Y795" s="442"/>
      <c r="Z795" s="165"/>
      <c r="AA795" s="165"/>
      <c r="AB795" s="165"/>
      <c r="AC795" s="165"/>
      <c r="AD795" s="165"/>
      <c r="AE795" s="165"/>
      <c r="AF795" s="165"/>
      <c r="AG795" s="165"/>
      <c r="AH795" s="165"/>
      <c r="AI795" s="165"/>
      <c r="AJ795" s="165"/>
      <c r="AK795" s="165"/>
      <c r="AL795" s="165"/>
      <c r="AM795" s="165"/>
      <c r="AN795" s="165"/>
      <c r="AO795" s="165"/>
      <c r="AP795" s="165"/>
      <c r="AQ795" s="165"/>
    </row>
    <row r="796" ht="15.75" customHeight="1">
      <c r="H796" s="440"/>
      <c r="U796" s="441"/>
      <c r="V796" s="441"/>
      <c r="W796" s="441"/>
      <c r="X796" s="441"/>
      <c r="Y796" s="442"/>
      <c r="Z796" s="165"/>
      <c r="AA796" s="165"/>
      <c r="AB796" s="165"/>
      <c r="AC796" s="165"/>
      <c r="AD796" s="165"/>
      <c r="AE796" s="165"/>
      <c r="AF796" s="165"/>
      <c r="AG796" s="165"/>
      <c r="AH796" s="165"/>
      <c r="AI796" s="165"/>
      <c r="AJ796" s="165"/>
      <c r="AK796" s="165"/>
      <c r="AL796" s="165"/>
      <c r="AM796" s="165"/>
      <c r="AN796" s="165"/>
      <c r="AO796" s="165"/>
      <c r="AP796" s="165"/>
      <c r="AQ796" s="165"/>
    </row>
    <row r="797" ht="15.75" customHeight="1">
      <c r="H797" s="440"/>
      <c r="U797" s="441"/>
      <c r="V797" s="441"/>
      <c r="W797" s="441"/>
      <c r="X797" s="441"/>
      <c r="Y797" s="442"/>
      <c r="Z797" s="165"/>
      <c r="AA797" s="165"/>
      <c r="AB797" s="165"/>
      <c r="AC797" s="165"/>
      <c r="AD797" s="165"/>
      <c r="AE797" s="165"/>
      <c r="AF797" s="165"/>
      <c r="AG797" s="165"/>
      <c r="AH797" s="165"/>
      <c r="AI797" s="165"/>
      <c r="AJ797" s="165"/>
      <c r="AK797" s="165"/>
      <c r="AL797" s="165"/>
      <c r="AM797" s="165"/>
      <c r="AN797" s="165"/>
      <c r="AO797" s="165"/>
      <c r="AP797" s="165"/>
      <c r="AQ797" s="165"/>
    </row>
    <row r="798" ht="15.75" customHeight="1">
      <c r="H798" s="440"/>
      <c r="U798" s="441"/>
      <c r="V798" s="441"/>
      <c r="W798" s="441"/>
      <c r="X798" s="441"/>
      <c r="Y798" s="442"/>
      <c r="Z798" s="165"/>
      <c r="AA798" s="165"/>
      <c r="AB798" s="165"/>
      <c r="AC798" s="165"/>
      <c r="AD798" s="165"/>
      <c r="AE798" s="165"/>
      <c r="AF798" s="165"/>
      <c r="AG798" s="165"/>
      <c r="AH798" s="165"/>
      <c r="AI798" s="165"/>
      <c r="AJ798" s="165"/>
      <c r="AK798" s="165"/>
      <c r="AL798" s="165"/>
      <c r="AM798" s="165"/>
      <c r="AN798" s="165"/>
      <c r="AO798" s="165"/>
      <c r="AP798" s="165"/>
      <c r="AQ798" s="165"/>
    </row>
    <row r="799" ht="15.75" customHeight="1">
      <c r="H799" s="440"/>
      <c r="U799" s="441"/>
      <c r="V799" s="441"/>
      <c r="W799" s="441"/>
      <c r="X799" s="441"/>
      <c r="Y799" s="442"/>
      <c r="Z799" s="165"/>
      <c r="AA799" s="165"/>
      <c r="AB799" s="165"/>
      <c r="AC799" s="165"/>
      <c r="AD799" s="165"/>
      <c r="AE799" s="165"/>
      <c r="AF799" s="165"/>
      <c r="AG799" s="165"/>
      <c r="AH799" s="165"/>
      <c r="AI799" s="165"/>
      <c r="AJ799" s="165"/>
      <c r="AK799" s="165"/>
      <c r="AL799" s="165"/>
      <c r="AM799" s="165"/>
      <c r="AN799" s="165"/>
      <c r="AO799" s="165"/>
      <c r="AP799" s="165"/>
      <c r="AQ799" s="165"/>
    </row>
    <row r="800" ht="15.75" customHeight="1">
      <c r="H800" s="440"/>
      <c r="U800" s="441"/>
      <c r="V800" s="441"/>
      <c r="W800" s="441"/>
      <c r="X800" s="441"/>
      <c r="Y800" s="442"/>
      <c r="Z800" s="165"/>
      <c r="AA800" s="165"/>
      <c r="AB800" s="165"/>
      <c r="AC800" s="165"/>
      <c r="AD800" s="165"/>
      <c r="AE800" s="165"/>
      <c r="AF800" s="165"/>
      <c r="AG800" s="165"/>
      <c r="AH800" s="165"/>
      <c r="AI800" s="165"/>
      <c r="AJ800" s="165"/>
      <c r="AK800" s="165"/>
      <c r="AL800" s="165"/>
      <c r="AM800" s="165"/>
      <c r="AN800" s="165"/>
      <c r="AO800" s="165"/>
      <c r="AP800" s="165"/>
      <c r="AQ800" s="165"/>
    </row>
    <row r="801" ht="15.75" customHeight="1">
      <c r="H801" s="440"/>
      <c r="U801" s="441"/>
      <c r="V801" s="441"/>
      <c r="W801" s="441"/>
      <c r="X801" s="441"/>
      <c r="Y801" s="442"/>
      <c r="Z801" s="165"/>
      <c r="AA801" s="165"/>
      <c r="AB801" s="165"/>
      <c r="AC801" s="165"/>
      <c r="AD801" s="165"/>
      <c r="AE801" s="165"/>
      <c r="AF801" s="165"/>
      <c r="AG801" s="165"/>
      <c r="AH801" s="165"/>
      <c r="AI801" s="165"/>
      <c r="AJ801" s="165"/>
      <c r="AK801" s="165"/>
      <c r="AL801" s="165"/>
      <c r="AM801" s="165"/>
      <c r="AN801" s="165"/>
      <c r="AO801" s="165"/>
      <c r="AP801" s="165"/>
      <c r="AQ801" s="165"/>
    </row>
    <row r="802" ht="15.75" customHeight="1">
      <c r="H802" s="440"/>
      <c r="U802" s="441"/>
      <c r="V802" s="441"/>
      <c r="W802" s="441"/>
      <c r="X802" s="441"/>
      <c r="Y802" s="442"/>
      <c r="Z802" s="165"/>
      <c r="AA802" s="165"/>
      <c r="AB802" s="165"/>
      <c r="AC802" s="165"/>
      <c r="AD802" s="165"/>
      <c r="AE802" s="165"/>
      <c r="AF802" s="165"/>
      <c r="AG802" s="165"/>
      <c r="AH802" s="165"/>
      <c r="AI802" s="165"/>
      <c r="AJ802" s="165"/>
      <c r="AK802" s="165"/>
      <c r="AL802" s="165"/>
      <c r="AM802" s="165"/>
      <c r="AN802" s="165"/>
      <c r="AO802" s="165"/>
      <c r="AP802" s="165"/>
      <c r="AQ802" s="165"/>
    </row>
    <row r="803" ht="15.75" customHeight="1">
      <c r="H803" s="440"/>
      <c r="U803" s="441"/>
      <c r="V803" s="441"/>
      <c r="W803" s="441"/>
      <c r="X803" s="441"/>
      <c r="Y803" s="442"/>
      <c r="Z803" s="165"/>
      <c r="AA803" s="165"/>
      <c r="AB803" s="165"/>
      <c r="AC803" s="165"/>
      <c r="AD803" s="165"/>
      <c r="AE803" s="165"/>
      <c r="AF803" s="165"/>
      <c r="AG803" s="165"/>
      <c r="AH803" s="165"/>
      <c r="AI803" s="165"/>
      <c r="AJ803" s="165"/>
      <c r="AK803" s="165"/>
      <c r="AL803" s="165"/>
      <c r="AM803" s="165"/>
      <c r="AN803" s="165"/>
      <c r="AO803" s="165"/>
      <c r="AP803" s="165"/>
      <c r="AQ803" s="165"/>
    </row>
    <row r="804" ht="15.75" customHeight="1">
      <c r="H804" s="440"/>
      <c r="U804" s="441"/>
      <c r="V804" s="441"/>
      <c r="W804" s="441"/>
      <c r="X804" s="441"/>
      <c r="Y804" s="442"/>
      <c r="Z804" s="165"/>
      <c r="AA804" s="165"/>
      <c r="AB804" s="165"/>
      <c r="AC804" s="165"/>
      <c r="AD804" s="165"/>
      <c r="AE804" s="165"/>
      <c r="AF804" s="165"/>
      <c r="AG804" s="165"/>
      <c r="AH804" s="165"/>
      <c r="AI804" s="165"/>
      <c r="AJ804" s="165"/>
      <c r="AK804" s="165"/>
      <c r="AL804" s="165"/>
      <c r="AM804" s="165"/>
      <c r="AN804" s="165"/>
      <c r="AO804" s="165"/>
      <c r="AP804" s="165"/>
      <c r="AQ804" s="165"/>
    </row>
    <row r="805" ht="15.75" customHeight="1">
      <c r="H805" s="440"/>
      <c r="U805" s="441"/>
      <c r="V805" s="441"/>
      <c r="W805" s="441"/>
      <c r="X805" s="441"/>
      <c r="Y805" s="442"/>
      <c r="Z805" s="165"/>
      <c r="AA805" s="165"/>
      <c r="AB805" s="165"/>
      <c r="AC805" s="165"/>
      <c r="AD805" s="165"/>
      <c r="AE805" s="165"/>
      <c r="AF805" s="165"/>
      <c r="AG805" s="165"/>
      <c r="AH805" s="165"/>
      <c r="AI805" s="165"/>
      <c r="AJ805" s="165"/>
      <c r="AK805" s="165"/>
      <c r="AL805" s="165"/>
      <c r="AM805" s="165"/>
      <c r="AN805" s="165"/>
      <c r="AO805" s="165"/>
      <c r="AP805" s="165"/>
      <c r="AQ805" s="165"/>
    </row>
    <row r="806" ht="15.75" customHeight="1">
      <c r="H806" s="440"/>
      <c r="U806" s="441"/>
      <c r="V806" s="441"/>
      <c r="W806" s="441"/>
      <c r="X806" s="441"/>
      <c r="Y806" s="442"/>
      <c r="Z806" s="165"/>
      <c r="AA806" s="165"/>
      <c r="AB806" s="165"/>
      <c r="AC806" s="165"/>
      <c r="AD806" s="165"/>
      <c r="AE806" s="165"/>
      <c r="AF806" s="165"/>
      <c r="AG806" s="165"/>
      <c r="AH806" s="165"/>
      <c r="AI806" s="165"/>
      <c r="AJ806" s="165"/>
      <c r="AK806" s="165"/>
      <c r="AL806" s="165"/>
      <c r="AM806" s="165"/>
      <c r="AN806" s="165"/>
      <c r="AO806" s="165"/>
      <c r="AP806" s="165"/>
      <c r="AQ806" s="165"/>
    </row>
    <row r="807" ht="15.75" customHeight="1">
      <c r="H807" s="440"/>
      <c r="U807" s="441"/>
      <c r="V807" s="441"/>
      <c r="W807" s="441"/>
      <c r="X807" s="441"/>
      <c r="Y807" s="442"/>
      <c r="Z807" s="165"/>
      <c r="AA807" s="165"/>
      <c r="AB807" s="165"/>
      <c r="AC807" s="165"/>
      <c r="AD807" s="165"/>
      <c r="AE807" s="165"/>
      <c r="AF807" s="165"/>
      <c r="AG807" s="165"/>
      <c r="AH807" s="165"/>
      <c r="AI807" s="165"/>
      <c r="AJ807" s="165"/>
      <c r="AK807" s="165"/>
      <c r="AL807" s="165"/>
      <c r="AM807" s="165"/>
      <c r="AN807" s="165"/>
      <c r="AO807" s="165"/>
      <c r="AP807" s="165"/>
      <c r="AQ807" s="165"/>
    </row>
    <row r="808" ht="15.75" customHeight="1">
      <c r="H808" s="440"/>
      <c r="U808" s="441"/>
      <c r="V808" s="441"/>
      <c r="W808" s="441"/>
      <c r="X808" s="441"/>
      <c r="Y808" s="442"/>
      <c r="Z808" s="165"/>
      <c r="AA808" s="165"/>
      <c r="AB808" s="165"/>
      <c r="AC808" s="165"/>
      <c r="AD808" s="165"/>
      <c r="AE808" s="165"/>
      <c r="AF808" s="165"/>
      <c r="AG808" s="165"/>
      <c r="AH808" s="165"/>
      <c r="AI808" s="165"/>
      <c r="AJ808" s="165"/>
      <c r="AK808" s="165"/>
      <c r="AL808" s="165"/>
      <c r="AM808" s="165"/>
      <c r="AN808" s="165"/>
      <c r="AO808" s="165"/>
      <c r="AP808" s="165"/>
      <c r="AQ808" s="165"/>
    </row>
    <row r="809" ht="15.75" customHeight="1">
      <c r="H809" s="440"/>
      <c r="U809" s="441"/>
      <c r="V809" s="441"/>
      <c r="W809" s="441"/>
      <c r="X809" s="441"/>
      <c r="Y809" s="442"/>
      <c r="Z809" s="165"/>
      <c r="AA809" s="165"/>
      <c r="AB809" s="165"/>
      <c r="AC809" s="165"/>
      <c r="AD809" s="165"/>
      <c r="AE809" s="165"/>
      <c r="AF809" s="165"/>
      <c r="AG809" s="165"/>
      <c r="AH809" s="165"/>
      <c r="AI809" s="165"/>
      <c r="AJ809" s="165"/>
      <c r="AK809" s="165"/>
      <c r="AL809" s="165"/>
      <c r="AM809" s="165"/>
      <c r="AN809" s="165"/>
      <c r="AO809" s="165"/>
      <c r="AP809" s="165"/>
      <c r="AQ809" s="165"/>
    </row>
    <row r="810" ht="15.75" customHeight="1">
      <c r="H810" s="440"/>
      <c r="U810" s="441"/>
      <c r="V810" s="441"/>
      <c r="W810" s="441"/>
      <c r="X810" s="441"/>
      <c r="Y810" s="442"/>
      <c r="Z810" s="165"/>
      <c r="AA810" s="165"/>
      <c r="AB810" s="165"/>
      <c r="AC810" s="165"/>
      <c r="AD810" s="165"/>
      <c r="AE810" s="165"/>
      <c r="AF810" s="165"/>
      <c r="AG810" s="165"/>
      <c r="AH810" s="165"/>
      <c r="AI810" s="165"/>
      <c r="AJ810" s="165"/>
      <c r="AK810" s="165"/>
      <c r="AL810" s="165"/>
      <c r="AM810" s="165"/>
      <c r="AN810" s="165"/>
      <c r="AO810" s="165"/>
      <c r="AP810" s="165"/>
      <c r="AQ810" s="165"/>
    </row>
    <row r="811" ht="15.75" customHeight="1">
      <c r="H811" s="440"/>
      <c r="U811" s="441"/>
      <c r="V811" s="441"/>
      <c r="W811" s="441"/>
      <c r="X811" s="441"/>
      <c r="Y811" s="442"/>
      <c r="Z811" s="165"/>
      <c r="AA811" s="165"/>
      <c r="AB811" s="165"/>
      <c r="AC811" s="165"/>
      <c r="AD811" s="165"/>
      <c r="AE811" s="165"/>
      <c r="AF811" s="165"/>
      <c r="AG811" s="165"/>
      <c r="AH811" s="165"/>
      <c r="AI811" s="165"/>
      <c r="AJ811" s="165"/>
      <c r="AK811" s="165"/>
      <c r="AL811" s="165"/>
      <c r="AM811" s="165"/>
      <c r="AN811" s="165"/>
      <c r="AO811" s="165"/>
      <c r="AP811" s="165"/>
      <c r="AQ811" s="165"/>
    </row>
    <row r="812" ht="15.75" customHeight="1">
      <c r="H812" s="440"/>
      <c r="U812" s="441"/>
      <c r="V812" s="441"/>
      <c r="W812" s="441"/>
      <c r="X812" s="441"/>
      <c r="Y812" s="442"/>
      <c r="Z812" s="165"/>
      <c r="AA812" s="165"/>
      <c r="AB812" s="165"/>
      <c r="AC812" s="165"/>
      <c r="AD812" s="165"/>
      <c r="AE812" s="165"/>
      <c r="AF812" s="165"/>
      <c r="AG812" s="165"/>
      <c r="AH812" s="165"/>
      <c r="AI812" s="165"/>
      <c r="AJ812" s="165"/>
      <c r="AK812" s="165"/>
      <c r="AL812" s="165"/>
      <c r="AM812" s="165"/>
      <c r="AN812" s="165"/>
      <c r="AO812" s="165"/>
      <c r="AP812" s="165"/>
      <c r="AQ812" s="165"/>
    </row>
    <row r="813" ht="15.75" customHeight="1">
      <c r="H813" s="440"/>
      <c r="U813" s="441"/>
      <c r="V813" s="441"/>
      <c r="W813" s="441"/>
      <c r="X813" s="441"/>
      <c r="Y813" s="442"/>
      <c r="Z813" s="165"/>
      <c r="AA813" s="165"/>
      <c r="AB813" s="165"/>
      <c r="AC813" s="165"/>
      <c r="AD813" s="165"/>
      <c r="AE813" s="165"/>
      <c r="AF813" s="165"/>
      <c r="AG813" s="165"/>
      <c r="AH813" s="165"/>
      <c r="AI813" s="165"/>
      <c r="AJ813" s="165"/>
      <c r="AK813" s="165"/>
      <c r="AL813" s="165"/>
      <c r="AM813" s="165"/>
      <c r="AN813" s="165"/>
      <c r="AO813" s="165"/>
      <c r="AP813" s="165"/>
      <c r="AQ813" s="165"/>
    </row>
    <row r="814" ht="15.75" customHeight="1">
      <c r="H814" s="440"/>
      <c r="U814" s="441"/>
      <c r="V814" s="441"/>
      <c r="W814" s="441"/>
      <c r="X814" s="441"/>
      <c r="Y814" s="442"/>
      <c r="Z814" s="165"/>
      <c r="AA814" s="165"/>
      <c r="AB814" s="165"/>
      <c r="AC814" s="165"/>
      <c r="AD814" s="165"/>
      <c r="AE814" s="165"/>
      <c r="AF814" s="165"/>
      <c r="AG814" s="165"/>
      <c r="AH814" s="165"/>
      <c r="AI814" s="165"/>
      <c r="AJ814" s="165"/>
      <c r="AK814" s="165"/>
      <c r="AL814" s="165"/>
      <c r="AM814" s="165"/>
      <c r="AN814" s="165"/>
      <c r="AO814" s="165"/>
      <c r="AP814" s="165"/>
      <c r="AQ814" s="165"/>
    </row>
    <row r="815" ht="15.75" customHeight="1">
      <c r="H815" s="440"/>
      <c r="U815" s="441"/>
      <c r="V815" s="441"/>
      <c r="W815" s="441"/>
      <c r="X815" s="441"/>
      <c r="Y815" s="442"/>
      <c r="Z815" s="165"/>
      <c r="AA815" s="165"/>
      <c r="AB815" s="165"/>
      <c r="AC815" s="165"/>
      <c r="AD815" s="165"/>
      <c r="AE815" s="165"/>
      <c r="AF815" s="165"/>
      <c r="AG815" s="165"/>
      <c r="AH815" s="165"/>
      <c r="AI815" s="165"/>
      <c r="AJ815" s="165"/>
      <c r="AK815" s="165"/>
      <c r="AL815" s="165"/>
      <c r="AM815" s="165"/>
      <c r="AN815" s="165"/>
      <c r="AO815" s="165"/>
      <c r="AP815" s="165"/>
      <c r="AQ815" s="165"/>
    </row>
    <row r="816" ht="15.75" customHeight="1">
      <c r="H816" s="440"/>
      <c r="U816" s="441"/>
      <c r="V816" s="441"/>
      <c r="W816" s="441"/>
      <c r="X816" s="441"/>
      <c r="Y816" s="442"/>
      <c r="Z816" s="165"/>
      <c r="AA816" s="165"/>
      <c r="AB816" s="165"/>
      <c r="AC816" s="165"/>
      <c r="AD816" s="165"/>
      <c r="AE816" s="165"/>
      <c r="AF816" s="165"/>
      <c r="AG816" s="165"/>
      <c r="AH816" s="165"/>
      <c r="AI816" s="165"/>
      <c r="AJ816" s="165"/>
      <c r="AK816" s="165"/>
      <c r="AL816" s="165"/>
      <c r="AM816" s="165"/>
      <c r="AN816" s="165"/>
      <c r="AO816" s="165"/>
      <c r="AP816" s="165"/>
      <c r="AQ816" s="165"/>
    </row>
    <row r="817" ht="15.75" customHeight="1">
      <c r="H817" s="440"/>
      <c r="U817" s="441"/>
      <c r="V817" s="441"/>
      <c r="W817" s="441"/>
      <c r="X817" s="441"/>
      <c r="Y817" s="442"/>
      <c r="Z817" s="165"/>
      <c r="AA817" s="165"/>
      <c r="AB817" s="165"/>
      <c r="AC817" s="165"/>
      <c r="AD817" s="165"/>
      <c r="AE817" s="165"/>
      <c r="AF817" s="165"/>
      <c r="AG817" s="165"/>
      <c r="AH817" s="165"/>
      <c r="AI817" s="165"/>
      <c r="AJ817" s="165"/>
      <c r="AK817" s="165"/>
      <c r="AL817" s="165"/>
      <c r="AM817" s="165"/>
      <c r="AN817" s="165"/>
      <c r="AO817" s="165"/>
      <c r="AP817" s="165"/>
      <c r="AQ817" s="165"/>
    </row>
    <row r="818" ht="15.75" customHeight="1">
      <c r="H818" s="440"/>
      <c r="U818" s="441"/>
      <c r="V818" s="441"/>
      <c r="W818" s="441"/>
      <c r="X818" s="441"/>
      <c r="Y818" s="442"/>
      <c r="Z818" s="165"/>
      <c r="AA818" s="165"/>
      <c r="AB818" s="165"/>
      <c r="AC818" s="165"/>
      <c r="AD818" s="165"/>
      <c r="AE818" s="165"/>
      <c r="AF818" s="165"/>
      <c r="AG818" s="165"/>
      <c r="AH818" s="165"/>
      <c r="AI818" s="165"/>
      <c r="AJ818" s="165"/>
      <c r="AK818" s="165"/>
      <c r="AL818" s="165"/>
      <c r="AM818" s="165"/>
      <c r="AN818" s="165"/>
      <c r="AO818" s="165"/>
      <c r="AP818" s="165"/>
      <c r="AQ818" s="165"/>
    </row>
    <row r="819" ht="15.75" customHeight="1">
      <c r="H819" s="440"/>
      <c r="U819" s="441"/>
      <c r="V819" s="441"/>
      <c r="W819" s="441"/>
      <c r="X819" s="441"/>
      <c r="Y819" s="442"/>
      <c r="Z819" s="165"/>
      <c r="AA819" s="165"/>
      <c r="AB819" s="165"/>
      <c r="AC819" s="165"/>
      <c r="AD819" s="165"/>
      <c r="AE819" s="165"/>
      <c r="AF819" s="165"/>
      <c r="AG819" s="165"/>
      <c r="AH819" s="165"/>
      <c r="AI819" s="165"/>
      <c r="AJ819" s="165"/>
      <c r="AK819" s="165"/>
      <c r="AL819" s="165"/>
      <c r="AM819" s="165"/>
      <c r="AN819" s="165"/>
      <c r="AO819" s="165"/>
      <c r="AP819" s="165"/>
      <c r="AQ819" s="165"/>
    </row>
    <row r="820" ht="15.75" customHeight="1">
      <c r="H820" s="440"/>
      <c r="U820" s="441"/>
      <c r="V820" s="441"/>
      <c r="W820" s="441"/>
      <c r="X820" s="441"/>
      <c r="Y820" s="442"/>
      <c r="Z820" s="165"/>
      <c r="AA820" s="165"/>
      <c r="AB820" s="165"/>
      <c r="AC820" s="165"/>
      <c r="AD820" s="165"/>
      <c r="AE820" s="165"/>
      <c r="AF820" s="165"/>
      <c r="AG820" s="165"/>
      <c r="AH820" s="165"/>
      <c r="AI820" s="165"/>
      <c r="AJ820" s="165"/>
      <c r="AK820" s="165"/>
      <c r="AL820" s="165"/>
      <c r="AM820" s="165"/>
      <c r="AN820" s="165"/>
      <c r="AO820" s="165"/>
      <c r="AP820" s="165"/>
      <c r="AQ820" s="165"/>
    </row>
    <row r="821" ht="15.75" customHeight="1">
      <c r="H821" s="440"/>
      <c r="U821" s="441"/>
      <c r="V821" s="441"/>
      <c r="W821" s="441"/>
      <c r="X821" s="441"/>
      <c r="Y821" s="442"/>
      <c r="Z821" s="165"/>
      <c r="AA821" s="165"/>
      <c r="AB821" s="165"/>
      <c r="AC821" s="165"/>
      <c r="AD821" s="165"/>
      <c r="AE821" s="165"/>
      <c r="AF821" s="165"/>
      <c r="AG821" s="165"/>
      <c r="AH821" s="165"/>
      <c r="AI821" s="165"/>
      <c r="AJ821" s="165"/>
      <c r="AK821" s="165"/>
      <c r="AL821" s="165"/>
      <c r="AM821" s="165"/>
      <c r="AN821" s="165"/>
      <c r="AO821" s="165"/>
      <c r="AP821" s="165"/>
      <c r="AQ821" s="165"/>
    </row>
    <row r="822" ht="15.75" customHeight="1">
      <c r="H822" s="440"/>
      <c r="U822" s="441"/>
      <c r="V822" s="441"/>
      <c r="W822" s="441"/>
      <c r="X822" s="441"/>
      <c r="Y822" s="442"/>
      <c r="Z822" s="165"/>
      <c r="AA822" s="165"/>
      <c r="AB822" s="165"/>
      <c r="AC822" s="165"/>
      <c r="AD822" s="165"/>
      <c r="AE822" s="165"/>
      <c r="AF822" s="165"/>
      <c r="AG822" s="165"/>
      <c r="AH822" s="165"/>
      <c r="AI822" s="165"/>
      <c r="AJ822" s="165"/>
      <c r="AK822" s="165"/>
      <c r="AL822" s="165"/>
      <c r="AM822" s="165"/>
      <c r="AN822" s="165"/>
      <c r="AO822" s="165"/>
      <c r="AP822" s="165"/>
      <c r="AQ822" s="165"/>
    </row>
    <row r="823" ht="15.75" customHeight="1">
      <c r="H823" s="440"/>
      <c r="U823" s="441"/>
      <c r="V823" s="441"/>
      <c r="W823" s="441"/>
      <c r="X823" s="441"/>
      <c r="Y823" s="442"/>
      <c r="Z823" s="165"/>
      <c r="AA823" s="165"/>
      <c r="AB823" s="165"/>
      <c r="AC823" s="165"/>
      <c r="AD823" s="165"/>
      <c r="AE823" s="165"/>
      <c r="AF823" s="165"/>
      <c r="AG823" s="165"/>
      <c r="AH823" s="165"/>
      <c r="AI823" s="165"/>
      <c r="AJ823" s="165"/>
      <c r="AK823" s="165"/>
      <c r="AL823" s="165"/>
      <c r="AM823" s="165"/>
      <c r="AN823" s="165"/>
      <c r="AO823" s="165"/>
      <c r="AP823" s="165"/>
      <c r="AQ823" s="165"/>
    </row>
    <row r="824" ht="15.75" customHeight="1">
      <c r="H824" s="440"/>
      <c r="U824" s="441"/>
      <c r="V824" s="441"/>
      <c r="W824" s="441"/>
      <c r="X824" s="441"/>
      <c r="Y824" s="442"/>
      <c r="Z824" s="165"/>
      <c r="AA824" s="165"/>
      <c r="AB824" s="165"/>
      <c r="AC824" s="165"/>
      <c r="AD824" s="165"/>
      <c r="AE824" s="165"/>
      <c r="AF824" s="165"/>
      <c r="AG824" s="165"/>
      <c r="AH824" s="165"/>
      <c r="AI824" s="165"/>
      <c r="AJ824" s="165"/>
      <c r="AK824" s="165"/>
      <c r="AL824" s="165"/>
      <c r="AM824" s="165"/>
      <c r="AN824" s="165"/>
      <c r="AO824" s="165"/>
      <c r="AP824" s="165"/>
      <c r="AQ824" s="165"/>
    </row>
    <row r="825" ht="15.75" customHeight="1">
      <c r="H825" s="440"/>
      <c r="U825" s="441"/>
      <c r="V825" s="441"/>
      <c r="W825" s="441"/>
      <c r="X825" s="441"/>
      <c r="Y825" s="442"/>
      <c r="Z825" s="165"/>
      <c r="AA825" s="165"/>
      <c r="AB825" s="165"/>
      <c r="AC825" s="165"/>
      <c r="AD825" s="165"/>
      <c r="AE825" s="165"/>
      <c r="AF825" s="165"/>
      <c r="AG825" s="165"/>
      <c r="AH825" s="165"/>
      <c r="AI825" s="165"/>
      <c r="AJ825" s="165"/>
      <c r="AK825" s="165"/>
      <c r="AL825" s="165"/>
      <c r="AM825" s="165"/>
      <c r="AN825" s="165"/>
      <c r="AO825" s="165"/>
      <c r="AP825" s="165"/>
      <c r="AQ825" s="165"/>
    </row>
    <row r="826" ht="15.75" customHeight="1">
      <c r="H826" s="440"/>
      <c r="U826" s="441"/>
      <c r="V826" s="441"/>
      <c r="W826" s="441"/>
      <c r="X826" s="441"/>
      <c r="Y826" s="442"/>
      <c r="Z826" s="165"/>
      <c r="AA826" s="165"/>
      <c r="AB826" s="165"/>
      <c r="AC826" s="165"/>
      <c r="AD826" s="165"/>
      <c r="AE826" s="165"/>
      <c r="AF826" s="165"/>
      <c r="AG826" s="165"/>
      <c r="AH826" s="165"/>
      <c r="AI826" s="165"/>
      <c r="AJ826" s="165"/>
      <c r="AK826" s="165"/>
      <c r="AL826" s="165"/>
      <c r="AM826" s="165"/>
      <c r="AN826" s="165"/>
      <c r="AO826" s="165"/>
      <c r="AP826" s="165"/>
      <c r="AQ826" s="165"/>
    </row>
    <row r="827" ht="15.75" customHeight="1">
      <c r="H827" s="440"/>
      <c r="U827" s="441"/>
      <c r="V827" s="441"/>
      <c r="W827" s="441"/>
      <c r="X827" s="441"/>
      <c r="Y827" s="442"/>
      <c r="Z827" s="165"/>
      <c r="AA827" s="165"/>
      <c r="AB827" s="165"/>
      <c r="AC827" s="165"/>
      <c r="AD827" s="165"/>
      <c r="AE827" s="165"/>
      <c r="AF827" s="165"/>
      <c r="AG827" s="165"/>
      <c r="AH827" s="165"/>
      <c r="AI827" s="165"/>
      <c r="AJ827" s="165"/>
      <c r="AK827" s="165"/>
      <c r="AL827" s="165"/>
      <c r="AM827" s="165"/>
      <c r="AN827" s="165"/>
      <c r="AO827" s="165"/>
      <c r="AP827" s="165"/>
      <c r="AQ827" s="165"/>
    </row>
    <row r="828" ht="15.75" customHeight="1">
      <c r="H828" s="440"/>
      <c r="U828" s="441"/>
      <c r="V828" s="441"/>
      <c r="W828" s="441"/>
      <c r="X828" s="441"/>
      <c r="Y828" s="442"/>
      <c r="Z828" s="165"/>
      <c r="AA828" s="165"/>
      <c r="AB828" s="165"/>
      <c r="AC828" s="165"/>
      <c r="AD828" s="165"/>
      <c r="AE828" s="165"/>
      <c r="AF828" s="165"/>
      <c r="AG828" s="165"/>
      <c r="AH828" s="165"/>
      <c r="AI828" s="165"/>
      <c r="AJ828" s="165"/>
      <c r="AK828" s="165"/>
      <c r="AL828" s="165"/>
      <c r="AM828" s="165"/>
      <c r="AN828" s="165"/>
      <c r="AO828" s="165"/>
      <c r="AP828" s="165"/>
      <c r="AQ828" s="165"/>
    </row>
    <row r="829" ht="15.75" customHeight="1">
      <c r="H829" s="440"/>
      <c r="U829" s="441"/>
      <c r="V829" s="441"/>
      <c r="W829" s="441"/>
      <c r="X829" s="441"/>
      <c r="Y829" s="442"/>
      <c r="Z829" s="165"/>
      <c r="AA829" s="165"/>
      <c r="AB829" s="165"/>
      <c r="AC829" s="165"/>
      <c r="AD829" s="165"/>
      <c r="AE829" s="165"/>
      <c r="AF829" s="165"/>
      <c r="AG829" s="165"/>
      <c r="AH829" s="165"/>
      <c r="AI829" s="165"/>
      <c r="AJ829" s="165"/>
      <c r="AK829" s="165"/>
      <c r="AL829" s="165"/>
      <c r="AM829" s="165"/>
      <c r="AN829" s="165"/>
      <c r="AO829" s="165"/>
      <c r="AP829" s="165"/>
      <c r="AQ829" s="165"/>
    </row>
    <row r="830" ht="15.75" customHeight="1">
      <c r="H830" s="440"/>
      <c r="U830" s="441"/>
      <c r="V830" s="441"/>
      <c r="W830" s="441"/>
      <c r="X830" s="441"/>
      <c r="Y830" s="442"/>
      <c r="Z830" s="165"/>
      <c r="AA830" s="165"/>
      <c r="AB830" s="165"/>
      <c r="AC830" s="165"/>
      <c r="AD830" s="165"/>
      <c r="AE830" s="165"/>
      <c r="AF830" s="165"/>
      <c r="AG830" s="165"/>
      <c r="AH830" s="165"/>
      <c r="AI830" s="165"/>
      <c r="AJ830" s="165"/>
      <c r="AK830" s="165"/>
      <c r="AL830" s="165"/>
      <c r="AM830" s="165"/>
      <c r="AN830" s="165"/>
      <c r="AO830" s="165"/>
      <c r="AP830" s="165"/>
      <c r="AQ830" s="165"/>
    </row>
    <row r="831" ht="15.75" customHeight="1">
      <c r="H831" s="440"/>
      <c r="U831" s="441"/>
      <c r="V831" s="441"/>
      <c r="W831" s="441"/>
      <c r="X831" s="441"/>
      <c r="Y831" s="442"/>
      <c r="Z831" s="165"/>
      <c r="AA831" s="165"/>
      <c r="AB831" s="165"/>
      <c r="AC831" s="165"/>
      <c r="AD831" s="165"/>
      <c r="AE831" s="165"/>
      <c r="AF831" s="165"/>
      <c r="AG831" s="165"/>
      <c r="AH831" s="165"/>
      <c r="AI831" s="165"/>
      <c r="AJ831" s="165"/>
      <c r="AK831" s="165"/>
      <c r="AL831" s="165"/>
      <c r="AM831" s="165"/>
      <c r="AN831" s="165"/>
      <c r="AO831" s="165"/>
      <c r="AP831" s="165"/>
      <c r="AQ831" s="165"/>
    </row>
    <row r="832" ht="15.75" customHeight="1">
      <c r="H832" s="440"/>
      <c r="U832" s="441"/>
      <c r="V832" s="441"/>
      <c r="W832" s="441"/>
      <c r="X832" s="441"/>
      <c r="Y832" s="442"/>
      <c r="Z832" s="165"/>
      <c r="AA832" s="165"/>
      <c r="AB832" s="165"/>
      <c r="AC832" s="165"/>
      <c r="AD832" s="165"/>
      <c r="AE832" s="165"/>
      <c r="AF832" s="165"/>
      <c r="AG832" s="165"/>
      <c r="AH832" s="165"/>
      <c r="AI832" s="165"/>
      <c r="AJ832" s="165"/>
      <c r="AK832" s="165"/>
      <c r="AL832" s="165"/>
      <c r="AM832" s="165"/>
      <c r="AN832" s="165"/>
      <c r="AO832" s="165"/>
      <c r="AP832" s="165"/>
      <c r="AQ832" s="165"/>
    </row>
    <row r="833" ht="15.75" customHeight="1">
      <c r="H833" s="440"/>
      <c r="U833" s="441"/>
      <c r="V833" s="441"/>
      <c r="W833" s="441"/>
      <c r="X833" s="441"/>
      <c r="Y833" s="442"/>
      <c r="Z833" s="165"/>
      <c r="AA833" s="165"/>
      <c r="AB833" s="165"/>
      <c r="AC833" s="165"/>
      <c r="AD833" s="165"/>
      <c r="AE833" s="165"/>
      <c r="AF833" s="165"/>
      <c r="AG833" s="165"/>
      <c r="AH833" s="165"/>
      <c r="AI833" s="165"/>
      <c r="AJ833" s="165"/>
      <c r="AK833" s="165"/>
      <c r="AL833" s="165"/>
      <c r="AM833" s="165"/>
      <c r="AN833" s="165"/>
      <c r="AO833" s="165"/>
      <c r="AP833" s="165"/>
      <c r="AQ833" s="165"/>
    </row>
    <row r="834" ht="15.75" customHeight="1">
      <c r="H834" s="440"/>
      <c r="U834" s="441"/>
      <c r="V834" s="441"/>
      <c r="W834" s="441"/>
      <c r="X834" s="441"/>
      <c r="Y834" s="442"/>
      <c r="Z834" s="165"/>
      <c r="AA834" s="165"/>
      <c r="AB834" s="165"/>
      <c r="AC834" s="165"/>
      <c r="AD834" s="165"/>
      <c r="AE834" s="165"/>
      <c r="AF834" s="165"/>
      <c r="AG834" s="165"/>
      <c r="AH834" s="165"/>
      <c r="AI834" s="165"/>
      <c r="AJ834" s="165"/>
      <c r="AK834" s="165"/>
      <c r="AL834" s="165"/>
      <c r="AM834" s="165"/>
      <c r="AN834" s="165"/>
      <c r="AO834" s="165"/>
      <c r="AP834" s="165"/>
      <c r="AQ834" s="165"/>
    </row>
    <row r="835" ht="15.75" customHeight="1">
      <c r="H835" s="440"/>
      <c r="U835" s="441"/>
      <c r="V835" s="441"/>
      <c r="W835" s="441"/>
      <c r="X835" s="441"/>
      <c r="Y835" s="442"/>
      <c r="Z835" s="165"/>
      <c r="AA835" s="165"/>
      <c r="AB835" s="165"/>
      <c r="AC835" s="165"/>
      <c r="AD835" s="165"/>
      <c r="AE835" s="165"/>
      <c r="AF835" s="165"/>
      <c r="AG835" s="165"/>
      <c r="AH835" s="165"/>
      <c r="AI835" s="165"/>
      <c r="AJ835" s="165"/>
      <c r="AK835" s="165"/>
      <c r="AL835" s="165"/>
      <c r="AM835" s="165"/>
      <c r="AN835" s="165"/>
      <c r="AO835" s="165"/>
      <c r="AP835" s="165"/>
      <c r="AQ835" s="165"/>
    </row>
    <row r="836" ht="15.75" customHeight="1">
      <c r="H836" s="440"/>
      <c r="U836" s="441"/>
      <c r="V836" s="441"/>
      <c r="W836" s="441"/>
      <c r="X836" s="441"/>
      <c r="Y836" s="442"/>
      <c r="Z836" s="165"/>
      <c r="AA836" s="165"/>
      <c r="AB836" s="165"/>
      <c r="AC836" s="165"/>
      <c r="AD836" s="165"/>
      <c r="AE836" s="165"/>
      <c r="AF836" s="165"/>
      <c r="AG836" s="165"/>
      <c r="AH836" s="165"/>
      <c r="AI836" s="165"/>
      <c r="AJ836" s="165"/>
      <c r="AK836" s="165"/>
      <c r="AL836" s="165"/>
      <c r="AM836" s="165"/>
      <c r="AN836" s="165"/>
      <c r="AO836" s="165"/>
      <c r="AP836" s="165"/>
      <c r="AQ836" s="165"/>
    </row>
    <row r="837" ht="15.75" customHeight="1">
      <c r="H837" s="440"/>
      <c r="U837" s="441"/>
      <c r="V837" s="441"/>
      <c r="W837" s="441"/>
      <c r="X837" s="441"/>
      <c r="Y837" s="442"/>
      <c r="Z837" s="165"/>
      <c r="AA837" s="165"/>
      <c r="AB837" s="165"/>
      <c r="AC837" s="165"/>
      <c r="AD837" s="165"/>
      <c r="AE837" s="165"/>
      <c r="AF837" s="165"/>
      <c r="AG837" s="165"/>
      <c r="AH837" s="165"/>
      <c r="AI837" s="165"/>
      <c r="AJ837" s="165"/>
      <c r="AK837" s="165"/>
      <c r="AL837" s="165"/>
      <c r="AM837" s="165"/>
      <c r="AN837" s="165"/>
      <c r="AO837" s="165"/>
      <c r="AP837" s="165"/>
      <c r="AQ837" s="165"/>
    </row>
    <row r="838" ht="15.75" customHeight="1">
      <c r="H838" s="440"/>
      <c r="U838" s="441"/>
      <c r="V838" s="441"/>
      <c r="W838" s="441"/>
      <c r="X838" s="441"/>
      <c r="Y838" s="442"/>
      <c r="Z838" s="165"/>
      <c r="AA838" s="165"/>
      <c r="AB838" s="165"/>
      <c r="AC838" s="165"/>
      <c r="AD838" s="165"/>
      <c r="AE838" s="165"/>
      <c r="AF838" s="165"/>
      <c r="AG838" s="165"/>
      <c r="AH838" s="165"/>
      <c r="AI838" s="165"/>
      <c r="AJ838" s="165"/>
      <c r="AK838" s="165"/>
      <c r="AL838" s="165"/>
      <c r="AM838" s="165"/>
      <c r="AN838" s="165"/>
      <c r="AO838" s="165"/>
      <c r="AP838" s="165"/>
      <c r="AQ838" s="165"/>
    </row>
    <row r="839" ht="15.75" customHeight="1">
      <c r="H839" s="440"/>
      <c r="U839" s="441"/>
      <c r="V839" s="441"/>
      <c r="W839" s="441"/>
      <c r="X839" s="441"/>
      <c r="Y839" s="442"/>
      <c r="Z839" s="165"/>
      <c r="AA839" s="165"/>
      <c r="AB839" s="165"/>
      <c r="AC839" s="165"/>
      <c r="AD839" s="165"/>
      <c r="AE839" s="165"/>
      <c r="AF839" s="165"/>
      <c r="AG839" s="165"/>
      <c r="AH839" s="165"/>
      <c r="AI839" s="165"/>
      <c r="AJ839" s="165"/>
      <c r="AK839" s="165"/>
      <c r="AL839" s="165"/>
      <c r="AM839" s="165"/>
      <c r="AN839" s="165"/>
      <c r="AO839" s="165"/>
      <c r="AP839" s="165"/>
      <c r="AQ839" s="165"/>
    </row>
    <row r="840" ht="15.75" customHeight="1">
      <c r="H840" s="440"/>
      <c r="U840" s="441"/>
      <c r="V840" s="441"/>
      <c r="W840" s="441"/>
      <c r="X840" s="441"/>
      <c r="Y840" s="442"/>
      <c r="Z840" s="165"/>
      <c r="AA840" s="165"/>
      <c r="AB840" s="165"/>
      <c r="AC840" s="165"/>
      <c r="AD840" s="165"/>
      <c r="AE840" s="165"/>
      <c r="AF840" s="165"/>
      <c r="AG840" s="165"/>
      <c r="AH840" s="165"/>
      <c r="AI840" s="165"/>
      <c r="AJ840" s="165"/>
      <c r="AK840" s="165"/>
      <c r="AL840" s="165"/>
      <c r="AM840" s="165"/>
      <c r="AN840" s="165"/>
      <c r="AO840" s="165"/>
      <c r="AP840" s="165"/>
      <c r="AQ840" s="165"/>
    </row>
    <row r="841" ht="15.75" customHeight="1">
      <c r="H841" s="440"/>
      <c r="U841" s="441"/>
      <c r="V841" s="441"/>
      <c r="W841" s="441"/>
      <c r="X841" s="441"/>
      <c r="Y841" s="442"/>
      <c r="Z841" s="165"/>
      <c r="AA841" s="165"/>
      <c r="AB841" s="165"/>
      <c r="AC841" s="165"/>
      <c r="AD841" s="165"/>
      <c r="AE841" s="165"/>
      <c r="AF841" s="165"/>
      <c r="AG841" s="165"/>
      <c r="AH841" s="165"/>
      <c r="AI841" s="165"/>
      <c r="AJ841" s="165"/>
      <c r="AK841" s="165"/>
      <c r="AL841" s="165"/>
      <c r="AM841" s="165"/>
      <c r="AN841" s="165"/>
      <c r="AO841" s="165"/>
      <c r="AP841" s="165"/>
      <c r="AQ841" s="165"/>
    </row>
    <row r="842" ht="15.75" customHeight="1">
      <c r="H842" s="440"/>
      <c r="U842" s="441"/>
      <c r="V842" s="441"/>
      <c r="W842" s="441"/>
      <c r="X842" s="441"/>
      <c r="Y842" s="442"/>
      <c r="Z842" s="165"/>
      <c r="AA842" s="165"/>
      <c r="AB842" s="165"/>
      <c r="AC842" s="165"/>
      <c r="AD842" s="165"/>
      <c r="AE842" s="165"/>
      <c r="AF842" s="165"/>
      <c r="AG842" s="165"/>
      <c r="AH842" s="165"/>
      <c r="AI842" s="165"/>
      <c r="AJ842" s="165"/>
      <c r="AK842" s="165"/>
      <c r="AL842" s="165"/>
      <c r="AM842" s="165"/>
      <c r="AN842" s="165"/>
      <c r="AO842" s="165"/>
      <c r="AP842" s="165"/>
      <c r="AQ842" s="165"/>
    </row>
    <row r="843" ht="15.75" customHeight="1">
      <c r="H843" s="440"/>
      <c r="U843" s="441"/>
      <c r="V843" s="441"/>
      <c r="W843" s="441"/>
      <c r="X843" s="441"/>
      <c r="Y843" s="442"/>
      <c r="Z843" s="165"/>
      <c r="AA843" s="165"/>
      <c r="AB843" s="165"/>
      <c r="AC843" s="165"/>
      <c r="AD843" s="165"/>
      <c r="AE843" s="165"/>
      <c r="AF843" s="165"/>
      <c r="AG843" s="165"/>
      <c r="AH843" s="165"/>
      <c r="AI843" s="165"/>
      <c r="AJ843" s="165"/>
      <c r="AK843" s="165"/>
      <c r="AL843" s="165"/>
      <c r="AM843" s="165"/>
      <c r="AN843" s="165"/>
      <c r="AO843" s="165"/>
      <c r="AP843" s="165"/>
      <c r="AQ843" s="165"/>
    </row>
    <row r="844" ht="15.75" customHeight="1">
      <c r="H844" s="440"/>
      <c r="U844" s="441"/>
      <c r="V844" s="441"/>
      <c r="W844" s="441"/>
      <c r="X844" s="441"/>
      <c r="Y844" s="442"/>
      <c r="Z844" s="165"/>
      <c r="AA844" s="165"/>
      <c r="AB844" s="165"/>
      <c r="AC844" s="165"/>
      <c r="AD844" s="165"/>
      <c r="AE844" s="165"/>
      <c r="AF844" s="165"/>
      <c r="AG844" s="165"/>
      <c r="AH844" s="165"/>
      <c r="AI844" s="165"/>
      <c r="AJ844" s="165"/>
      <c r="AK844" s="165"/>
      <c r="AL844" s="165"/>
      <c r="AM844" s="165"/>
      <c r="AN844" s="165"/>
      <c r="AO844" s="165"/>
      <c r="AP844" s="165"/>
      <c r="AQ844" s="165"/>
    </row>
    <row r="845" ht="15.75" customHeight="1">
      <c r="H845" s="440"/>
      <c r="U845" s="441"/>
      <c r="V845" s="441"/>
      <c r="W845" s="441"/>
      <c r="X845" s="441"/>
      <c r="Y845" s="442"/>
      <c r="Z845" s="165"/>
      <c r="AA845" s="165"/>
      <c r="AB845" s="165"/>
      <c r="AC845" s="165"/>
      <c r="AD845" s="165"/>
      <c r="AE845" s="165"/>
      <c r="AF845" s="165"/>
      <c r="AG845" s="165"/>
      <c r="AH845" s="165"/>
      <c r="AI845" s="165"/>
      <c r="AJ845" s="165"/>
      <c r="AK845" s="165"/>
      <c r="AL845" s="165"/>
      <c r="AM845" s="165"/>
      <c r="AN845" s="165"/>
      <c r="AO845" s="165"/>
      <c r="AP845" s="165"/>
      <c r="AQ845" s="165"/>
    </row>
    <row r="846" ht="15.75" customHeight="1">
      <c r="H846" s="440"/>
      <c r="U846" s="441"/>
      <c r="V846" s="441"/>
      <c r="W846" s="441"/>
      <c r="X846" s="441"/>
      <c r="Y846" s="442"/>
      <c r="Z846" s="165"/>
      <c r="AA846" s="165"/>
      <c r="AB846" s="165"/>
      <c r="AC846" s="165"/>
      <c r="AD846" s="165"/>
      <c r="AE846" s="165"/>
      <c r="AF846" s="165"/>
      <c r="AG846" s="165"/>
      <c r="AH846" s="165"/>
      <c r="AI846" s="165"/>
      <c r="AJ846" s="165"/>
      <c r="AK846" s="165"/>
      <c r="AL846" s="165"/>
      <c r="AM846" s="165"/>
      <c r="AN846" s="165"/>
      <c r="AO846" s="165"/>
      <c r="AP846" s="165"/>
      <c r="AQ846" s="165"/>
    </row>
    <row r="847" ht="15.75" customHeight="1">
      <c r="H847" s="440"/>
      <c r="U847" s="441"/>
      <c r="V847" s="441"/>
      <c r="W847" s="441"/>
      <c r="X847" s="441"/>
      <c r="Y847" s="442"/>
      <c r="Z847" s="165"/>
      <c r="AA847" s="165"/>
      <c r="AB847" s="165"/>
      <c r="AC847" s="165"/>
      <c r="AD847" s="165"/>
      <c r="AE847" s="165"/>
      <c r="AF847" s="165"/>
      <c r="AG847" s="165"/>
      <c r="AH847" s="165"/>
      <c r="AI847" s="165"/>
      <c r="AJ847" s="165"/>
      <c r="AK847" s="165"/>
      <c r="AL847" s="165"/>
      <c r="AM847" s="165"/>
      <c r="AN847" s="165"/>
      <c r="AO847" s="165"/>
      <c r="AP847" s="165"/>
      <c r="AQ847" s="165"/>
    </row>
    <row r="848" ht="15.75" customHeight="1">
      <c r="H848" s="440"/>
      <c r="U848" s="441"/>
      <c r="V848" s="441"/>
      <c r="W848" s="441"/>
      <c r="X848" s="441"/>
      <c r="Y848" s="442"/>
      <c r="Z848" s="165"/>
      <c r="AA848" s="165"/>
      <c r="AB848" s="165"/>
      <c r="AC848" s="165"/>
      <c r="AD848" s="165"/>
      <c r="AE848" s="165"/>
      <c r="AF848" s="165"/>
      <c r="AG848" s="165"/>
      <c r="AH848" s="165"/>
      <c r="AI848" s="165"/>
      <c r="AJ848" s="165"/>
      <c r="AK848" s="165"/>
      <c r="AL848" s="165"/>
      <c r="AM848" s="165"/>
      <c r="AN848" s="165"/>
      <c r="AO848" s="165"/>
      <c r="AP848" s="165"/>
      <c r="AQ848" s="165"/>
    </row>
    <row r="849" ht="15.75" customHeight="1">
      <c r="H849" s="440"/>
      <c r="U849" s="441"/>
      <c r="V849" s="441"/>
      <c r="W849" s="441"/>
      <c r="X849" s="441"/>
      <c r="Y849" s="442"/>
      <c r="Z849" s="165"/>
      <c r="AA849" s="165"/>
      <c r="AB849" s="165"/>
      <c r="AC849" s="165"/>
      <c r="AD849" s="165"/>
      <c r="AE849" s="165"/>
      <c r="AF849" s="165"/>
      <c r="AG849" s="165"/>
      <c r="AH849" s="165"/>
      <c r="AI849" s="165"/>
      <c r="AJ849" s="165"/>
      <c r="AK849" s="165"/>
      <c r="AL849" s="165"/>
      <c r="AM849" s="165"/>
      <c r="AN849" s="165"/>
      <c r="AO849" s="165"/>
      <c r="AP849" s="165"/>
      <c r="AQ849" s="165"/>
    </row>
    <row r="850" ht="15.75" customHeight="1">
      <c r="H850" s="440"/>
      <c r="U850" s="441"/>
      <c r="V850" s="441"/>
      <c r="W850" s="441"/>
      <c r="X850" s="441"/>
      <c r="Y850" s="442"/>
      <c r="Z850" s="165"/>
      <c r="AA850" s="165"/>
      <c r="AB850" s="165"/>
      <c r="AC850" s="165"/>
      <c r="AD850" s="165"/>
      <c r="AE850" s="165"/>
      <c r="AF850" s="165"/>
      <c r="AG850" s="165"/>
      <c r="AH850" s="165"/>
      <c r="AI850" s="165"/>
      <c r="AJ850" s="165"/>
      <c r="AK850" s="165"/>
      <c r="AL850" s="165"/>
      <c r="AM850" s="165"/>
      <c r="AN850" s="165"/>
      <c r="AO850" s="165"/>
      <c r="AP850" s="165"/>
      <c r="AQ850" s="165"/>
    </row>
    <row r="851" ht="15.75" customHeight="1">
      <c r="H851" s="440"/>
      <c r="U851" s="441"/>
      <c r="V851" s="441"/>
      <c r="W851" s="441"/>
      <c r="X851" s="441"/>
      <c r="Y851" s="442"/>
      <c r="Z851" s="165"/>
      <c r="AA851" s="165"/>
      <c r="AB851" s="165"/>
      <c r="AC851" s="165"/>
      <c r="AD851" s="165"/>
      <c r="AE851" s="165"/>
      <c r="AF851" s="165"/>
      <c r="AG851" s="165"/>
      <c r="AH851" s="165"/>
      <c r="AI851" s="165"/>
      <c r="AJ851" s="165"/>
      <c r="AK851" s="165"/>
      <c r="AL851" s="165"/>
      <c r="AM851" s="165"/>
      <c r="AN851" s="165"/>
      <c r="AO851" s="165"/>
      <c r="AP851" s="165"/>
      <c r="AQ851" s="165"/>
    </row>
    <row r="852" ht="15.75" customHeight="1">
      <c r="H852" s="440"/>
      <c r="U852" s="441"/>
      <c r="V852" s="441"/>
      <c r="W852" s="441"/>
      <c r="X852" s="441"/>
      <c r="Y852" s="442"/>
      <c r="Z852" s="165"/>
      <c r="AA852" s="165"/>
      <c r="AB852" s="165"/>
      <c r="AC852" s="165"/>
      <c r="AD852" s="165"/>
      <c r="AE852" s="165"/>
      <c r="AF852" s="165"/>
      <c r="AG852" s="165"/>
      <c r="AH852" s="165"/>
      <c r="AI852" s="165"/>
      <c r="AJ852" s="165"/>
      <c r="AK852" s="165"/>
      <c r="AL852" s="165"/>
      <c r="AM852" s="165"/>
      <c r="AN852" s="165"/>
      <c r="AO852" s="165"/>
      <c r="AP852" s="165"/>
      <c r="AQ852" s="165"/>
    </row>
    <row r="853" ht="15.75" customHeight="1">
      <c r="H853" s="440"/>
      <c r="U853" s="441"/>
      <c r="V853" s="441"/>
      <c r="W853" s="441"/>
      <c r="X853" s="441"/>
      <c r="Y853" s="442"/>
      <c r="Z853" s="165"/>
      <c r="AA853" s="165"/>
      <c r="AB853" s="165"/>
      <c r="AC853" s="165"/>
      <c r="AD853" s="165"/>
      <c r="AE853" s="165"/>
      <c r="AF853" s="165"/>
      <c r="AG853" s="165"/>
      <c r="AH853" s="165"/>
      <c r="AI853" s="165"/>
      <c r="AJ853" s="165"/>
      <c r="AK853" s="165"/>
      <c r="AL853" s="165"/>
      <c r="AM853" s="165"/>
      <c r="AN853" s="165"/>
      <c r="AO853" s="165"/>
      <c r="AP853" s="165"/>
      <c r="AQ853" s="165"/>
    </row>
    <row r="854" ht="15.75" customHeight="1">
      <c r="H854" s="440"/>
      <c r="U854" s="441"/>
      <c r="V854" s="441"/>
      <c r="W854" s="441"/>
      <c r="X854" s="441"/>
      <c r="Y854" s="442"/>
      <c r="Z854" s="165"/>
      <c r="AA854" s="165"/>
      <c r="AB854" s="165"/>
      <c r="AC854" s="165"/>
      <c r="AD854" s="165"/>
      <c r="AE854" s="165"/>
      <c r="AF854" s="165"/>
      <c r="AG854" s="165"/>
      <c r="AH854" s="165"/>
      <c r="AI854" s="165"/>
      <c r="AJ854" s="165"/>
      <c r="AK854" s="165"/>
      <c r="AL854" s="165"/>
      <c r="AM854" s="165"/>
      <c r="AN854" s="165"/>
      <c r="AO854" s="165"/>
      <c r="AP854" s="165"/>
      <c r="AQ854" s="165"/>
    </row>
    <row r="855" ht="15.75" customHeight="1">
      <c r="H855" s="440"/>
      <c r="U855" s="441"/>
      <c r="V855" s="441"/>
      <c r="W855" s="441"/>
      <c r="X855" s="441"/>
      <c r="Y855" s="442"/>
      <c r="Z855" s="165"/>
      <c r="AA855" s="165"/>
      <c r="AB855" s="165"/>
      <c r="AC855" s="165"/>
      <c r="AD855" s="165"/>
      <c r="AE855" s="165"/>
      <c r="AF855" s="165"/>
      <c r="AG855" s="165"/>
      <c r="AH855" s="165"/>
      <c r="AI855" s="165"/>
      <c r="AJ855" s="165"/>
      <c r="AK855" s="165"/>
      <c r="AL855" s="165"/>
      <c r="AM855" s="165"/>
      <c r="AN855" s="165"/>
      <c r="AO855" s="165"/>
      <c r="AP855" s="165"/>
      <c r="AQ855" s="165"/>
    </row>
    <row r="856" ht="15.75" customHeight="1">
      <c r="H856" s="440"/>
      <c r="U856" s="441"/>
      <c r="V856" s="441"/>
      <c r="W856" s="441"/>
      <c r="X856" s="441"/>
      <c r="Y856" s="442"/>
      <c r="Z856" s="165"/>
      <c r="AA856" s="165"/>
      <c r="AB856" s="165"/>
      <c r="AC856" s="165"/>
      <c r="AD856" s="165"/>
      <c r="AE856" s="165"/>
      <c r="AF856" s="165"/>
      <c r="AG856" s="165"/>
      <c r="AH856" s="165"/>
      <c r="AI856" s="165"/>
      <c r="AJ856" s="165"/>
      <c r="AK856" s="165"/>
      <c r="AL856" s="165"/>
      <c r="AM856" s="165"/>
      <c r="AN856" s="165"/>
      <c r="AO856" s="165"/>
      <c r="AP856" s="165"/>
      <c r="AQ856" s="165"/>
    </row>
    <row r="857" ht="15.75" customHeight="1">
      <c r="H857" s="440"/>
      <c r="U857" s="441"/>
      <c r="V857" s="441"/>
      <c r="W857" s="441"/>
      <c r="X857" s="441"/>
      <c r="Y857" s="442"/>
      <c r="Z857" s="165"/>
      <c r="AA857" s="165"/>
      <c r="AB857" s="165"/>
      <c r="AC857" s="165"/>
      <c r="AD857" s="165"/>
      <c r="AE857" s="165"/>
      <c r="AF857" s="165"/>
      <c r="AG857" s="165"/>
      <c r="AH857" s="165"/>
      <c r="AI857" s="165"/>
      <c r="AJ857" s="165"/>
      <c r="AK857" s="165"/>
      <c r="AL857" s="165"/>
      <c r="AM857" s="165"/>
      <c r="AN857" s="165"/>
      <c r="AO857" s="165"/>
      <c r="AP857" s="165"/>
      <c r="AQ857" s="165"/>
    </row>
    <row r="858" ht="15.75" customHeight="1">
      <c r="H858" s="440"/>
      <c r="U858" s="441"/>
      <c r="V858" s="441"/>
      <c r="W858" s="441"/>
      <c r="X858" s="441"/>
      <c r="Y858" s="442"/>
      <c r="Z858" s="165"/>
      <c r="AA858" s="165"/>
      <c r="AB858" s="165"/>
      <c r="AC858" s="165"/>
      <c r="AD858" s="165"/>
      <c r="AE858" s="165"/>
      <c r="AF858" s="165"/>
      <c r="AG858" s="165"/>
      <c r="AH858" s="165"/>
      <c r="AI858" s="165"/>
      <c r="AJ858" s="165"/>
      <c r="AK858" s="165"/>
      <c r="AL858" s="165"/>
      <c r="AM858" s="165"/>
      <c r="AN858" s="165"/>
      <c r="AO858" s="165"/>
      <c r="AP858" s="165"/>
      <c r="AQ858" s="165"/>
    </row>
    <row r="859" ht="15.75" customHeight="1">
      <c r="H859" s="440"/>
      <c r="U859" s="441"/>
      <c r="V859" s="441"/>
      <c r="W859" s="441"/>
      <c r="X859" s="441"/>
      <c r="Y859" s="442"/>
      <c r="Z859" s="165"/>
      <c r="AA859" s="165"/>
      <c r="AB859" s="165"/>
      <c r="AC859" s="165"/>
      <c r="AD859" s="165"/>
      <c r="AE859" s="165"/>
      <c r="AF859" s="165"/>
      <c r="AG859" s="165"/>
      <c r="AH859" s="165"/>
      <c r="AI859" s="165"/>
      <c r="AJ859" s="165"/>
      <c r="AK859" s="165"/>
      <c r="AL859" s="165"/>
      <c r="AM859" s="165"/>
      <c r="AN859" s="165"/>
      <c r="AO859" s="165"/>
      <c r="AP859" s="165"/>
      <c r="AQ859" s="165"/>
    </row>
    <row r="860" ht="15.75" customHeight="1">
      <c r="H860" s="440"/>
      <c r="U860" s="441"/>
      <c r="V860" s="441"/>
      <c r="W860" s="441"/>
      <c r="X860" s="441"/>
      <c r="Y860" s="442"/>
      <c r="Z860" s="165"/>
      <c r="AA860" s="165"/>
      <c r="AB860" s="165"/>
      <c r="AC860" s="165"/>
      <c r="AD860" s="165"/>
      <c r="AE860" s="165"/>
      <c r="AF860" s="165"/>
      <c r="AG860" s="165"/>
      <c r="AH860" s="165"/>
      <c r="AI860" s="165"/>
      <c r="AJ860" s="165"/>
      <c r="AK860" s="165"/>
      <c r="AL860" s="165"/>
      <c r="AM860" s="165"/>
      <c r="AN860" s="165"/>
      <c r="AO860" s="165"/>
      <c r="AP860" s="165"/>
      <c r="AQ860" s="165"/>
    </row>
    <row r="861" ht="15.75" customHeight="1">
      <c r="H861" s="440"/>
      <c r="U861" s="441"/>
      <c r="V861" s="441"/>
      <c r="W861" s="441"/>
      <c r="X861" s="441"/>
      <c r="Y861" s="442"/>
      <c r="Z861" s="165"/>
      <c r="AA861" s="165"/>
      <c r="AB861" s="165"/>
      <c r="AC861" s="165"/>
      <c r="AD861" s="165"/>
      <c r="AE861" s="165"/>
      <c r="AF861" s="165"/>
      <c r="AG861" s="165"/>
      <c r="AH861" s="165"/>
      <c r="AI861" s="165"/>
      <c r="AJ861" s="165"/>
      <c r="AK861" s="165"/>
      <c r="AL861" s="165"/>
      <c r="AM861" s="165"/>
      <c r="AN861" s="165"/>
      <c r="AO861" s="165"/>
      <c r="AP861" s="165"/>
      <c r="AQ861" s="165"/>
    </row>
    <row r="862" ht="15.75" customHeight="1">
      <c r="H862" s="440"/>
      <c r="U862" s="441"/>
      <c r="V862" s="441"/>
      <c r="W862" s="441"/>
      <c r="X862" s="441"/>
      <c r="Y862" s="442"/>
      <c r="Z862" s="165"/>
      <c r="AA862" s="165"/>
      <c r="AB862" s="165"/>
      <c r="AC862" s="165"/>
      <c r="AD862" s="165"/>
      <c r="AE862" s="165"/>
      <c r="AF862" s="165"/>
      <c r="AG862" s="165"/>
      <c r="AH862" s="165"/>
      <c r="AI862" s="165"/>
      <c r="AJ862" s="165"/>
      <c r="AK862" s="165"/>
      <c r="AL862" s="165"/>
      <c r="AM862" s="165"/>
      <c r="AN862" s="165"/>
      <c r="AO862" s="165"/>
      <c r="AP862" s="165"/>
      <c r="AQ862" s="165"/>
    </row>
    <row r="863" ht="15.75" customHeight="1">
      <c r="H863" s="440"/>
      <c r="U863" s="441"/>
      <c r="V863" s="441"/>
      <c r="W863" s="441"/>
      <c r="X863" s="441"/>
      <c r="Y863" s="442"/>
      <c r="Z863" s="165"/>
      <c r="AA863" s="165"/>
      <c r="AB863" s="165"/>
      <c r="AC863" s="165"/>
      <c r="AD863" s="165"/>
      <c r="AE863" s="165"/>
      <c r="AF863" s="165"/>
      <c r="AG863" s="165"/>
      <c r="AH863" s="165"/>
      <c r="AI863" s="165"/>
      <c r="AJ863" s="165"/>
      <c r="AK863" s="165"/>
      <c r="AL863" s="165"/>
      <c r="AM863" s="165"/>
      <c r="AN863" s="165"/>
      <c r="AO863" s="165"/>
      <c r="AP863" s="165"/>
      <c r="AQ863" s="165"/>
    </row>
    <row r="864" ht="15.75" customHeight="1">
      <c r="H864" s="440"/>
      <c r="U864" s="441"/>
      <c r="V864" s="441"/>
      <c r="W864" s="441"/>
      <c r="X864" s="441"/>
      <c r="Y864" s="442"/>
      <c r="Z864" s="165"/>
      <c r="AA864" s="165"/>
      <c r="AB864" s="165"/>
      <c r="AC864" s="165"/>
      <c r="AD864" s="165"/>
      <c r="AE864" s="165"/>
      <c r="AF864" s="165"/>
      <c r="AG864" s="165"/>
      <c r="AH864" s="165"/>
      <c r="AI864" s="165"/>
      <c r="AJ864" s="165"/>
      <c r="AK864" s="165"/>
      <c r="AL864" s="165"/>
      <c r="AM864" s="165"/>
      <c r="AN864" s="165"/>
      <c r="AO864" s="165"/>
      <c r="AP864" s="165"/>
      <c r="AQ864" s="165"/>
    </row>
    <row r="865" ht="15.75" customHeight="1">
      <c r="H865" s="440"/>
      <c r="U865" s="441"/>
      <c r="V865" s="441"/>
      <c r="W865" s="441"/>
      <c r="X865" s="441"/>
      <c r="Y865" s="442"/>
      <c r="Z865" s="165"/>
      <c r="AA865" s="165"/>
      <c r="AB865" s="165"/>
      <c r="AC865" s="165"/>
      <c r="AD865" s="165"/>
      <c r="AE865" s="165"/>
      <c r="AF865" s="165"/>
      <c r="AG865" s="165"/>
      <c r="AH865" s="165"/>
      <c r="AI865" s="165"/>
      <c r="AJ865" s="165"/>
      <c r="AK865" s="165"/>
      <c r="AL865" s="165"/>
      <c r="AM865" s="165"/>
      <c r="AN865" s="165"/>
      <c r="AO865" s="165"/>
      <c r="AP865" s="165"/>
      <c r="AQ865" s="165"/>
    </row>
    <row r="866" ht="15.75" customHeight="1">
      <c r="H866" s="440"/>
      <c r="U866" s="441"/>
      <c r="V866" s="441"/>
      <c r="W866" s="441"/>
      <c r="X866" s="441"/>
      <c r="Y866" s="442"/>
      <c r="Z866" s="165"/>
      <c r="AA866" s="165"/>
      <c r="AB866" s="165"/>
      <c r="AC866" s="165"/>
      <c r="AD866" s="165"/>
      <c r="AE866" s="165"/>
      <c r="AF866" s="165"/>
      <c r="AG866" s="165"/>
      <c r="AH866" s="165"/>
      <c r="AI866" s="165"/>
      <c r="AJ866" s="165"/>
      <c r="AK866" s="165"/>
      <c r="AL866" s="165"/>
      <c r="AM866" s="165"/>
      <c r="AN866" s="165"/>
      <c r="AO866" s="165"/>
      <c r="AP866" s="165"/>
      <c r="AQ866" s="165"/>
    </row>
    <row r="867" ht="15.75" customHeight="1">
      <c r="H867" s="440"/>
      <c r="U867" s="441"/>
      <c r="V867" s="441"/>
      <c r="W867" s="441"/>
      <c r="X867" s="441"/>
      <c r="Y867" s="442"/>
      <c r="Z867" s="165"/>
      <c r="AA867" s="165"/>
      <c r="AB867" s="165"/>
      <c r="AC867" s="165"/>
      <c r="AD867" s="165"/>
      <c r="AE867" s="165"/>
      <c r="AF867" s="165"/>
      <c r="AG867" s="165"/>
      <c r="AH867" s="165"/>
      <c r="AI867" s="165"/>
      <c r="AJ867" s="165"/>
      <c r="AK867" s="165"/>
      <c r="AL867" s="165"/>
      <c r="AM867" s="165"/>
      <c r="AN867" s="165"/>
      <c r="AO867" s="165"/>
      <c r="AP867" s="165"/>
      <c r="AQ867" s="165"/>
    </row>
    <row r="868" ht="15.75" customHeight="1">
      <c r="H868" s="440"/>
      <c r="U868" s="441"/>
      <c r="V868" s="441"/>
      <c r="W868" s="441"/>
      <c r="X868" s="441"/>
      <c r="Y868" s="442"/>
      <c r="Z868" s="165"/>
      <c r="AA868" s="165"/>
      <c r="AB868" s="165"/>
      <c r="AC868" s="165"/>
      <c r="AD868" s="165"/>
      <c r="AE868" s="165"/>
      <c r="AF868" s="165"/>
      <c r="AG868" s="165"/>
      <c r="AH868" s="165"/>
      <c r="AI868" s="165"/>
      <c r="AJ868" s="165"/>
      <c r="AK868" s="165"/>
      <c r="AL868" s="165"/>
      <c r="AM868" s="165"/>
      <c r="AN868" s="165"/>
      <c r="AO868" s="165"/>
      <c r="AP868" s="165"/>
      <c r="AQ868" s="165"/>
    </row>
    <row r="869" ht="15.75" customHeight="1">
      <c r="H869" s="440"/>
      <c r="U869" s="441"/>
      <c r="V869" s="441"/>
      <c r="W869" s="441"/>
      <c r="X869" s="441"/>
      <c r="Y869" s="442"/>
      <c r="Z869" s="165"/>
      <c r="AA869" s="165"/>
      <c r="AB869" s="165"/>
      <c r="AC869" s="165"/>
      <c r="AD869" s="165"/>
      <c r="AE869" s="165"/>
      <c r="AF869" s="165"/>
      <c r="AG869" s="165"/>
      <c r="AH869" s="165"/>
      <c r="AI869" s="165"/>
      <c r="AJ869" s="165"/>
      <c r="AK869" s="165"/>
      <c r="AL869" s="165"/>
      <c r="AM869" s="165"/>
      <c r="AN869" s="165"/>
      <c r="AO869" s="165"/>
      <c r="AP869" s="165"/>
      <c r="AQ869" s="165"/>
    </row>
    <row r="870" ht="15.75" customHeight="1">
      <c r="H870" s="440"/>
      <c r="U870" s="441"/>
      <c r="V870" s="441"/>
      <c r="W870" s="441"/>
      <c r="X870" s="441"/>
      <c r="Y870" s="442"/>
      <c r="Z870" s="165"/>
      <c r="AA870" s="165"/>
      <c r="AB870" s="165"/>
      <c r="AC870" s="165"/>
      <c r="AD870" s="165"/>
      <c r="AE870" s="165"/>
      <c r="AF870" s="165"/>
      <c r="AG870" s="165"/>
      <c r="AH870" s="165"/>
      <c r="AI870" s="165"/>
      <c r="AJ870" s="165"/>
      <c r="AK870" s="165"/>
      <c r="AL870" s="165"/>
      <c r="AM870" s="165"/>
      <c r="AN870" s="165"/>
      <c r="AO870" s="165"/>
      <c r="AP870" s="165"/>
      <c r="AQ870" s="165"/>
    </row>
    <row r="871" ht="15.75" customHeight="1">
      <c r="H871" s="440"/>
      <c r="U871" s="441"/>
      <c r="V871" s="441"/>
      <c r="W871" s="441"/>
      <c r="X871" s="441"/>
      <c r="Y871" s="442"/>
      <c r="Z871" s="165"/>
      <c r="AA871" s="165"/>
      <c r="AB871" s="165"/>
      <c r="AC871" s="165"/>
      <c r="AD871" s="165"/>
      <c r="AE871" s="165"/>
      <c r="AF871" s="165"/>
      <c r="AG871" s="165"/>
      <c r="AH871" s="165"/>
      <c r="AI871" s="165"/>
      <c r="AJ871" s="165"/>
      <c r="AK871" s="165"/>
      <c r="AL871" s="165"/>
      <c r="AM871" s="165"/>
      <c r="AN871" s="165"/>
      <c r="AO871" s="165"/>
      <c r="AP871" s="165"/>
      <c r="AQ871" s="165"/>
    </row>
    <row r="872" ht="15.75" customHeight="1">
      <c r="H872" s="440"/>
      <c r="U872" s="441"/>
      <c r="V872" s="441"/>
      <c r="W872" s="441"/>
      <c r="X872" s="441"/>
      <c r="Y872" s="442"/>
      <c r="Z872" s="165"/>
      <c r="AA872" s="165"/>
      <c r="AB872" s="165"/>
      <c r="AC872" s="165"/>
      <c r="AD872" s="165"/>
      <c r="AE872" s="165"/>
      <c r="AF872" s="165"/>
      <c r="AG872" s="165"/>
      <c r="AH872" s="165"/>
      <c r="AI872" s="165"/>
      <c r="AJ872" s="165"/>
      <c r="AK872" s="165"/>
      <c r="AL872" s="165"/>
      <c r="AM872" s="165"/>
      <c r="AN872" s="165"/>
      <c r="AO872" s="165"/>
      <c r="AP872" s="165"/>
      <c r="AQ872" s="165"/>
    </row>
    <row r="873" ht="15.75" customHeight="1">
      <c r="H873" s="440"/>
      <c r="U873" s="441"/>
      <c r="V873" s="441"/>
      <c r="W873" s="441"/>
      <c r="X873" s="441"/>
      <c r="Y873" s="442"/>
      <c r="Z873" s="165"/>
      <c r="AA873" s="165"/>
      <c r="AB873" s="165"/>
      <c r="AC873" s="165"/>
      <c r="AD873" s="165"/>
      <c r="AE873" s="165"/>
      <c r="AF873" s="165"/>
      <c r="AG873" s="165"/>
      <c r="AH873" s="165"/>
      <c r="AI873" s="165"/>
      <c r="AJ873" s="165"/>
      <c r="AK873" s="165"/>
      <c r="AL873" s="165"/>
      <c r="AM873" s="165"/>
      <c r="AN873" s="165"/>
      <c r="AO873" s="165"/>
      <c r="AP873" s="165"/>
      <c r="AQ873" s="165"/>
    </row>
    <row r="874" ht="15.75" customHeight="1">
      <c r="H874" s="440"/>
      <c r="U874" s="441"/>
      <c r="V874" s="441"/>
      <c r="W874" s="441"/>
      <c r="X874" s="441"/>
      <c r="Y874" s="442"/>
      <c r="Z874" s="165"/>
      <c r="AA874" s="165"/>
      <c r="AB874" s="165"/>
      <c r="AC874" s="165"/>
      <c r="AD874" s="165"/>
      <c r="AE874" s="165"/>
      <c r="AF874" s="165"/>
      <c r="AG874" s="165"/>
      <c r="AH874" s="165"/>
      <c r="AI874" s="165"/>
      <c r="AJ874" s="165"/>
      <c r="AK874" s="165"/>
      <c r="AL874" s="165"/>
      <c r="AM874" s="165"/>
      <c r="AN874" s="165"/>
      <c r="AO874" s="165"/>
      <c r="AP874" s="165"/>
      <c r="AQ874" s="165"/>
    </row>
    <row r="875" ht="15.75" customHeight="1">
      <c r="H875" s="440"/>
      <c r="U875" s="441"/>
      <c r="V875" s="441"/>
      <c r="W875" s="441"/>
      <c r="X875" s="441"/>
      <c r="Y875" s="442"/>
      <c r="Z875" s="165"/>
      <c r="AA875" s="165"/>
      <c r="AB875" s="165"/>
      <c r="AC875" s="165"/>
      <c r="AD875" s="165"/>
      <c r="AE875" s="165"/>
      <c r="AF875" s="165"/>
      <c r="AG875" s="165"/>
      <c r="AH875" s="165"/>
      <c r="AI875" s="165"/>
      <c r="AJ875" s="165"/>
      <c r="AK875" s="165"/>
      <c r="AL875" s="165"/>
      <c r="AM875" s="165"/>
      <c r="AN875" s="165"/>
      <c r="AO875" s="165"/>
      <c r="AP875" s="165"/>
      <c r="AQ875" s="165"/>
    </row>
    <row r="876" ht="15.75" customHeight="1">
      <c r="H876" s="440"/>
      <c r="U876" s="441"/>
      <c r="V876" s="441"/>
      <c r="W876" s="441"/>
      <c r="X876" s="441"/>
      <c r="Y876" s="442"/>
      <c r="Z876" s="165"/>
      <c r="AA876" s="165"/>
      <c r="AB876" s="165"/>
      <c r="AC876" s="165"/>
      <c r="AD876" s="165"/>
      <c r="AE876" s="165"/>
      <c r="AF876" s="165"/>
      <c r="AG876" s="165"/>
      <c r="AH876" s="165"/>
      <c r="AI876" s="165"/>
      <c r="AJ876" s="165"/>
      <c r="AK876" s="165"/>
      <c r="AL876" s="165"/>
      <c r="AM876" s="165"/>
      <c r="AN876" s="165"/>
      <c r="AO876" s="165"/>
      <c r="AP876" s="165"/>
      <c r="AQ876" s="165"/>
    </row>
    <row r="877" ht="15.75" customHeight="1">
      <c r="H877" s="440"/>
      <c r="U877" s="441"/>
      <c r="V877" s="441"/>
      <c r="W877" s="441"/>
      <c r="X877" s="441"/>
      <c r="Y877" s="442"/>
      <c r="Z877" s="165"/>
      <c r="AA877" s="165"/>
      <c r="AB877" s="165"/>
      <c r="AC877" s="165"/>
      <c r="AD877" s="165"/>
      <c r="AE877" s="165"/>
      <c r="AF877" s="165"/>
      <c r="AG877" s="165"/>
      <c r="AH877" s="165"/>
      <c r="AI877" s="165"/>
      <c r="AJ877" s="165"/>
      <c r="AK877" s="165"/>
      <c r="AL877" s="165"/>
      <c r="AM877" s="165"/>
      <c r="AN877" s="165"/>
      <c r="AO877" s="165"/>
      <c r="AP877" s="165"/>
      <c r="AQ877" s="165"/>
    </row>
    <row r="878" ht="15.75" customHeight="1">
      <c r="H878" s="440"/>
      <c r="U878" s="441"/>
      <c r="V878" s="441"/>
      <c r="W878" s="441"/>
      <c r="X878" s="441"/>
      <c r="Y878" s="442"/>
      <c r="Z878" s="165"/>
      <c r="AA878" s="165"/>
      <c r="AB878" s="165"/>
      <c r="AC878" s="165"/>
      <c r="AD878" s="165"/>
      <c r="AE878" s="165"/>
      <c r="AF878" s="165"/>
      <c r="AG878" s="165"/>
      <c r="AH878" s="165"/>
      <c r="AI878" s="165"/>
      <c r="AJ878" s="165"/>
      <c r="AK878" s="165"/>
      <c r="AL878" s="165"/>
      <c r="AM878" s="165"/>
      <c r="AN878" s="165"/>
      <c r="AO878" s="165"/>
      <c r="AP878" s="165"/>
      <c r="AQ878" s="165"/>
    </row>
    <row r="879" ht="15.75" customHeight="1">
      <c r="H879" s="440"/>
      <c r="U879" s="441"/>
      <c r="V879" s="441"/>
      <c r="W879" s="441"/>
      <c r="X879" s="441"/>
      <c r="Y879" s="442"/>
      <c r="Z879" s="165"/>
      <c r="AA879" s="165"/>
      <c r="AB879" s="165"/>
      <c r="AC879" s="165"/>
      <c r="AD879" s="165"/>
      <c r="AE879" s="165"/>
      <c r="AF879" s="165"/>
      <c r="AG879" s="165"/>
      <c r="AH879" s="165"/>
      <c r="AI879" s="165"/>
      <c r="AJ879" s="165"/>
      <c r="AK879" s="165"/>
      <c r="AL879" s="165"/>
      <c r="AM879" s="165"/>
      <c r="AN879" s="165"/>
      <c r="AO879" s="165"/>
      <c r="AP879" s="165"/>
      <c r="AQ879" s="165"/>
    </row>
    <row r="880" ht="15.75" customHeight="1">
      <c r="H880" s="440"/>
      <c r="U880" s="441"/>
      <c r="V880" s="441"/>
      <c r="W880" s="441"/>
      <c r="X880" s="441"/>
      <c r="Y880" s="442"/>
      <c r="Z880" s="165"/>
      <c r="AA880" s="165"/>
      <c r="AB880" s="165"/>
      <c r="AC880" s="165"/>
      <c r="AD880" s="165"/>
      <c r="AE880" s="165"/>
      <c r="AF880" s="165"/>
      <c r="AG880" s="165"/>
      <c r="AH880" s="165"/>
      <c r="AI880" s="165"/>
      <c r="AJ880" s="165"/>
      <c r="AK880" s="165"/>
      <c r="AL880" s="165"/>
      <c r="AM880" s="165"/>
      <c r="AN880" s="165"/>
      <c r="AO880" s="165"/>
      <c r="AP880" s="165"/>
      <c r="AQ880" s="165"/>
    </row>
    <row r="881" ht="15.75" customHeight="1">
      <c r="H881" s="440"/>
      <c r="U881" s="441"/>
      <c r="V881" s="441"/>
      <c r="W881" s="441"/>
      <c r="X881" s="441"/>
      <c r="Y881" s="442"/>
      <c r="Z881" s="165"/>
      <c r="AA881" s="165"/>
      <c r="AB881" s="165"/>
      <c r="AC881" s="165"/>
      <c r="AD881" s="165"/>
      <c r="AE881" s="165"/>
      <c r="AF881" s="165"/>
      <c r="AG881" s="165"/>
      <c r="AH881" s="165"/>
      <c r="AI881" s="165"/>
      <c r="AJ881" s="165"/>
      <c r="AK881" s="165"/>
      <c r="AL881" s="165"/>
      <c r="AM881" s="165"/>
      <c r="AN881" s="165"/>
      <c r="AO881" s="165"/>
      <c r="AP881" s="165"/>
      <c r="AQ881" s="165"/>
    </row>
    <row r="882" ht="15.75" customHeight="1">
      <c r="H882" s="440"/>
      <c r="U882" s="441"/>
      <c r="V882" s="441"/>
      <c r="W882" s="441"/>
      <c r="X882" s="441"/>
      <c r="Y882" s="442"/>
      <c r="Z882" s="165"/>
      <c r="AA882" s="165"/>
      <c r="AB882" s="165"/>
      <c r="AC882" s="165"/>
      <c r="AD882" s="165"/>
      <c r="AE882" s="165"/>
      <c r="AF882" s="165"/>
      <c r="AG882" s="165"/>
      <c r="AH882" s="165"/>
      <c r="AI882" s="165"/>
      <c r="AJ882" s="165"/>
      <c r="AK882" s="165"/>
      <c r="AL882" s="165"/>
      <c r="AM882" s="165"/>
      <c r="AN882" s="165"/>
      <c r="AO882" s="165"/>
      <c r="AP882" s="165"/>
      <c r="AQ882" s="165"/>
    </row>
    <row r="883" ht="15.75" customHeight="1">
      <c r="H883" s="440"/>
      <c r="U883" s="441"/>
      <c r="V883" s="441"/>
      <c r="W883" s="441"/>
      <c r="X883" s="441"/>
      <c r="Y883" s="442"/>
      <c r="Z883" s="165"/>
      <c r="AA883" s="165"/>
      <c r="AB883" s="165"/>
      <c r="AC883" s="165"/>
      <c r="AD883" s="165"/>
      <c r="AE883" s="165"/>
      <c r="AF883" s="165"/>
      <c r="AG883" s="165"/>
      <c r="AH883" s="165"/>
      <c r="AI883" s="165"/>
      <c r="AJ883" s="165"/>
      <c r="AK883" s="165"/>
      <c r="AL883" s="165"/>
      <c r="AM883" s="165"/>
      <c r="AN883" s="165"/>
      <c r="AO883" s="165"/>
      <c r="AP883" s="165"/>
      <c r="AQ883" s="165"/>
    </row>
    <row r="884" ht="15.75" customHeight="1">
      <c r="H884" s="440"/>
      <c r="U884" s="441"/>
      <c r="V884" s="441"/>
      <c r="W884" s="441"/>
      <c r="X884" s="441"/>
      <c r="Y884" s="442"/>
      <c r="Z884" s="165"/>
      <c r="AA884" s="165"/>
      <c r="AB884" s="165"/>
      <c r="AC884" s="165"/>
      <c r="AD884" s="165"/>
      <c r="AE884" s="165"/>
      <c r="AF884" s="165"/>
      <c r="AG884" s="165"/>
      <c r="AH884" s="165"/>
      <c r="AI884" s="165"/>
      <c r="AJ884" s="165"/>
      <c r="AK884" s="165"/>
      <c r="AL884" s="165"/>
      <c r="AM884" s="165"/>
      <c r="AN884" s="165"/>
      <c r="AO884" s="165"/>
      <c r="AP884" s="165"/>
      <c r="AQ884" s="165"/>
    </row>
    <row r="885" ht="15.75" customHeight="1">
      <c r="H885" s="440"/>
      <c r="U885" s="441"/>
      <c r="V885" s="441"/>
      <c r="W885" s="441"/>
      <c r="X885" s="441"/>
      <c r="Y885" s="442"/>
      <c r="Z885" s="165"/>
      <c r="AA885" s="165"/>
      <c r="AB885" s="165"/>
      <c r="AC885" s="165"/>
      <c r="AD885" s="165"/>
      <c r="AE885" s="165"/>
      <c r="AF885" s="165"/>
      <c r="AG885" s="165"/>
      <c r="AH885" s="165"/>
      <c r="AI885" s="165"/>
      <c r="AJ885" s="165"/>
      <c r="AK885" s="165"/>
      <c r="AL885" s="165"/>
      <c r="AM885" s="165"/>
      <c r="AN885" s="165"/>
      <c r="AO885" s="165"/>
      <c r="AP885" s="165"/>
      <c r="AQ885" s="165"/>
    </row>
    <row r="886" ht="15.75" customHeight="1">
      <c r="H886" s="440"/>
      <c r="U886" s="441"/>
      <c r="V886" s="441"/>
      <c r="W886" s="441"/>
      <c r="X886" s="441"/>
      <c r="Y886" s="442"/>
      <c r="Z886" s="165"/>
      <c r="AA886" s="165"/>
      <c r="AB886" s="165"/>
      <c r="AC886" s="165"/>
      <c r="AD886" s="165"/>
      <c r="AE886" s="165"/>
      <c r="AF886" s="165"/>
      <c r="AG886" s="165"/>
      <c r="AH886" s="165"/>
      <c r="AI886" s="165"/>
      <c r="AJ886" s="165"/>
      <c r="AK886" s="165"/>
      <c r="AL886" s="165"/>
      <c r="AM886" s="165"/>
      <c r="AN886" s="165"/>
      <c r="AO886" s="165"/>
      <c r="AP886" s="165"/>
      <c r="AQ886" s="165"/>
    </row>
    <row r="887" ht="15.75" customHeight="1">
      <c r="H887" s="440"/>
      <c r="U887" s="441"/>
      <c r="V887" s="441"/>
      <c r="W887" s="441"/>
      <c r="X887" s="441"/>
      <c r="Y887" s="442"/>
      <c r="Z887" s="165"/>
      <c r="AA887" s="165"/>
      <c r="AB887" s="165"/>
      <c r="AC887" s="165"/>
      <c r="AD887" s="165"/>
      <c r="AE887" s="165"/>
      <c r="AF887" s="165"/>
      <c r="AG887" s="165"/>
      <c r="AH887" s="165"/>
      <c r="AI887" s="165"/>
      <c r="AJ887" s="165"/>
      <c r="AK887" s="165"/>
      <c r="AL887" s="165"/>
      <c r="AM887" s="165"/>
      <c r="AN887" s="165"/>
      <c r="AO887" s="165"/>
      <c r="AP887" s="165"/>
      <c r="AQ887" s="165"/>
    </row>
    <row r="888" ht="15.75" customHeight="1">
      <c r="H888" s="440"/>
      <c r="U888" s="441"/>
      <c r="V888" s="441"/>
      <c r="W888" s="441"/>
      <c r="X888" s="441"/>
      <c r="Y888" s="442"/>
      <c r="Z888" s="165"/>
      <c r="AA888" s="165"/>
      <c r="AB888" s="165"/>
      <c r="AC888" s="165"/>
      <c r="AD888" s="165"/>
      <c r="AE888" s="165"/>
      <c r="AF888" s="165"/>
      <c r="AG888" s="165"/>
      <c r="AH888" s="165"/>
      <c r="AI888" s="165"/>
      <c r="AJ888" s="165"/>
      <c r="AK888" s="165"/>
      <c r="AL888" s="165"/>
      <c r="AM888" s="165"/>
      <c r="AN888" s="165"/>
      <c r="AO888" s="165"/>
      <c r="AP888" s="165"/>
      <c r="AQ888" s="165"/>
    </row>
    <row r="889" ht="15.75" customHeight="1">
      <c r="H889" s="440"/>
      <c r="U889" s="441"/>
      <c r="V889" s="441"/>
      <c r="W889" s="441"/>
      <c r="X889" s="441"/>
      <c r="Y889" s="442"/>
      <c r="Z889" s="165"/>
      <c r="AA889" s="165"/>
      <c r="AB889" s="165"/>
      <c r="AC889" s="165"/>
      <c r="AD889" s="165"/>
      <c r="AE889" s="165"/>
      <c r="AF889" s="165"/>
      <c r="AG889" s="165"/>
      <c r="AH889" s="165"/>
      <c r="AI889" s="165"/>
      <c r="AJ889" s="165"/>
      <c r="AK889" s="165"/>
      <c r="AL889" s="165"/>
      <c r="AM889" s="165"/>
      <c r="AN889" s="165"/>
      <c r="AO889" s="165"/>
      <c r="AP889" s="165"/>
      <c r="AQ889" s="165"/>
    </row>
    <row r="890" ht="15.75" customHeight="1">
      <c r="H890" s="440"/>
      <c r="U890" s="441"/>
      <c r="V890" s="441"/>
      <c r="W890" s="441"/>
      <c r="X890" s="441"/>
      <c r="Y890" s="442"/>
      <c r="Z890" s="165"/>
      <c r="AA890" s="165"/>
      <c r="AB890" s="165"/>
      <c r="AC890" s="165"/>
      <c r="AD890" s="165"/>
      <c r="AE890" s="165"/>
      <c r="AF890" s="165"/>
      <c r="AG890" s="165"/>
      <c r="AH890" s="165"/>
      <c r="AI890" s="165"/>
      <c r="AJ890" s="165"/>
      <c r="AK890" s="165"/>
      <c r="AL890" s="165"/>
      <c r="AM890" s="165"/>
      <c r="AN890" s="165"/>
      <c r="AO890" s="165"/>
      <c r="AP890" s="165"/>
      <c r="AQ890" s="165"/>
    </row>
    <row r="891" ht="15.75" customHeight="1">
      <c r="H891" s="440"/>
      <c r="U891" s="441"/>
      <c r="V891" s="441"/>
      <c r="W891" s="441"/>
      <c r="X891" s="441"/>
      <c r="Y891" s="442"/>
      <c r="Z891" s="165"/>
      <c r="AA891" s="165"/>
      <c r="AB891" s="165"/>
      <c r="AC891" s="165"/>
      <c r="AD891" s="165"/>
      <c r="AE891" s="165"/>
      <c r="AF891" s="165"/>
      <c r="AG891" s="165"/>
      <c r="AH891" s="165"/>
      <c r="AI891" s="165"/>
      <c r="AJ891" s="165"/>
      <c r="AK891" s="165"/>
      <c r="AL891" s="165"/>
      <c r="AM891" s="165"/>
      <c r="AN891" s="165"/>
      <c r="AO891" s="165"/>
      <c r="AP891" s="165"/>
      <c r="AQ891" s="165"/>
    </row>
    <row r="892" ht="15.75" customHeight="1">
      <c r="H892" s="440"/>
      <c r="U892" s="441"/>
      <c r="V892" s="441"/>
      <c r="W892" s="441"/>
      <c r="X892" s="441"/>
      <c r="Y892" s="442"/>
      <c r="Z892" s="165"/>
      <c r="AA892" s="165"/>
      <c r="AB892" s="165"/>
      <c r="AC892" s="165"/>
      <c r="AD892" s="165"/>
      <c r="AE892" s="165"/>
      <c r="AF892" s="165"/>
      <c r="AG892" s="165"/>
      <c r="AH892" s="165"/>
      <c r="AI892" s="165"/>
      <c r="AJ892" s="165"/>
      <c r="AK892" s="165"/>
      <c r="AL892" s="165"/>
      <c r="AM892" s="165"/>
      <c r="AN892" s="165"/>
      <c r="AO892" s="165"/>
      <c r="AP892" s="165"/>
      <c r="AQ892" s="165"/>
    </row>
    <row r="893" ht="15.75" customHeight="1">
      <c r="H893" s="440"/>
      <c r="U893" s="441"/>
      <c r="V893" s="441"/>
      <c r="W893" s="441"/>
      <c r="X893" s="441"/>
      <c r="Y893" s="442"/>
      <c r="Z893" s="165"/>
      <c r="AA893" s="165"/>
      <c r="AB893" s="165"/>
      <c r="AC893" s="165"/>
      <c r="AD893" s="165"/>
      <c r="AE893" s="165"/>
      <c r="AF893" s="165"/>
      <c r="AG893" s="165"/>
      <c r="AH893" s="165"/>
      <c r="AI893" s="165"/>
      <c r="AJ893" s="165"/>
      <c r="AK893" s="165"/>
      <c r="AL893" s="165"/>
      <c r="AM893" s="165"/>
      <c r="AN893" s="165"/>
      <c r="AO893" s="165"/>
      <c r="AP893" s="165"/>
      <c r="AQ893" s="165"/>
    </row>
    <row r="894" ht="15.75" customHeight="1">
      <c r="H894" s="440"/>
      <c r="U894" s="441"/>
      <c r="V894" s="441"/>
      <c r="W894" s="441"/>
      <c r="X894" s="441"/>
      <c r="Y894" s="442"/>
      <c r="Z894" s="165"/>
      <c r="AA894" s="165"/>
      <c r="AB894" s="165"/>
      <c r="AC894" s="165"/>
      <c r="AD894" s="165"/>
      <c r="AE894" s="165"/>
      <c r="AF894" s="165"/>
      <c r="AG894" s="165"/>
      <c r="AH894" s="165"/>
      <c r="AI894" s="165"/>
      <c r="AJ894" s="165"/>
      <c r="AK894" s="165"/>
      <c r="AL894" s="165"/>
      <c r="AM894" s="165"/>
      <c r="AN894" s="165"/>
      <c r="AO894" s="165"/>
      <c r="AP894" s="165"/>
      <c r="AQ894" s="165"/>
    </row>
    <row r="895" ht="15.75" customHeight="1">
      <c r="H895" s="440"/>
      <c r="U895" s="441"/>
      <c r="V895" s="441"/>
      <c r="W895" s="441"/>
      <c r="X895" s="441"/>
      <c r="Y895" s="442"/>
      <c r="Z895" s="165"/>
      <c r="AA895" s="165"/>
      <c r="AB895" s="165"/>
      <c r="AC895" s="165"/>
      <c r="AD895" s="165"/>
      <c r="AE895" s="165"/>
      <c r="AF895" s="165"/>
      <c r="AG895" s="165"/>
      <c r="AH895" s="165"/>
      <c r="AI895" s="165"/>
      <c r="AJ895" s="165"/>
      <c r="AK895" s="165"/>
      <c r="AL895" s="165"/>
      <c r="AM895" s="165"/>
      <c r="AN895" s="165"/>
      <c r="AO895" s="165"/>
      <c r="AP895" s="165"/>
      <c r="AQ895" s="165"/>
    </row>
    <row r="896" ht="15.75" customHeight="1">
      <c r="H896" s="440"/>
      <c r="U896" s="441"/>
      <c r="V896" s="441"/>
      <c r="W896" s="441"/>
      <c r="X896" s="441"/>
      <c r="Y896" s="442"/>
      <c r="Z896" s="165"/>
      <c r="AA896" s="165"/>
      <c r="AB896" s="165"/>
      <c r="AC896" s="165"/>
      <c r="AD896" s="165"/>
      <c r="AE896" s="165"/>
      <c r="AF896" s="165"/>
      <c r="AG896" s="165"/>
      <c r="AH896" s="165"/>
      <c r="AI896" s="165"/>
      <c r="AJ896" s="165"/>
      <c r="AK896" s="165"/>
      <c r="AL896" s="165"/>
      <c r="AM896" s="165"/>
      <c r="AN896" s="165"/>
      <c r="AO896" s="165"/>
      <c r="AP896" s="165"/>
      <c r="AQ896" s="165"/>
    </row>
    <row r="897" ht="15.75" customHeight="1">
      <c r="H897" s="440"/>
      <c r="U897" s="441"/>
      <c r="V897" s="441"/>
      <c r="W897" s="441"/>
      <c r="X897" s="441"/>
      <c r="Y897" s="442"/>
      <c r="Z897" s="165"/>
      <c r="AA897" s="165"/>
      <c r="AB897" s="165"/>
      <c r="AC897" s="165"/>
      <c r="AD897" s="165"/>
      <c r="AE897" s="165"/>
      <c r="AF897" s="165"/>
      <c r="AG897" s="165"/>
      <c r="AH897" s="165"/>
      <c r="AI897" s="165"/>
      <c r="AJ897" s="165"/>
      <c r="AK897" s="165"/>
      <c r="AL897" s="165"/>
      <c r="AM897" s="165"/>
      <c r="AN897" s="165"/>
      <c r="AO897" s="165"/>
      <c r="AP897" s="165"/>
      <c r="AQ897" s="165"/>
    </row>
    <row r="898" ht="15.75" customHeight="1">
      <c r="H898" s="440"/>
      <c r="U898" s="441"/>
      <c r="V898" s="441"/>
      <c r="W898" s="441"/>
      <c r="X898" s="441"/>
      <c r="Y898" s="442"/>
      <c r="Z898" s="165"/>
      <c r="AA898" s="165"/>
      <c r="AB898" s="165"/>
      <c r="AC898" s="165"/>
      <c r="AD898" s="165"/>
      <c r="AE898" s="165"/>
      <c r="AF898" s="165"/>
      <c r="AG898" s="165"/>
      <c r="AH898" s="165"/>
      <c r="AI898" s="165"/>
      <c r="AJ898" s="165"/>
      <c r="AK898" s="165"/>
      <c r="AL898" s="165"/>
      <c r="AM898" s="165"/>
      <c r="AN898" s="165"/>
      <c r="AO898" s="165"/>
      <c r="AP898" s="165"/>
      <c r="AQ898" s="165"/>
    </row>
    <row r="899" ht="15.75" customHeight="1">
      <c r="H899" s="440"/>
      <c r="U899" s="441"/>
      <c r="V899" s="441"/>
      <c r="W899" s="441"/>
      <c r="X899" s="441"/>
      <c r="Y899" s="442"/>
      <c r="Z899" s="165"/>
      <c r="AA899" s="165"/>
      <c r="AB899" s="165"/>
      <c r="AC899" s="165"/>
      <c r="AD899" s="165"/>
      <c r="AE899" s="165"/>
      <c r="AF899" s="165"/>
      <c r="AG899" s="165"/>
      <c r="AH899" s="165"/>
      <c r="AI899" s="165"/>
      <c r="AJ899" s="165"/>
      <c r="AK899" s="165"/>
      <c r="AL899" s="165"/>
      <c r="AM899" s="165"/>
      <c r="AN899" s="165"/>
      <c r="AO899" s="165"/>
      <c r="AP899" s="165"/>
      <c r="AQ899" s="165"/>
    </row>
    <row r="900" ht="15.75" customHeight="1">
      <c r="H900" s="440"/>
      <c r="U900" s="441"/>
      <c r="V900" s="441"/>
      <c r="W900" s="441"/>
      <c r="X900" s="441"/>
      <c r="Y900" s="442"/>
      <c r="Z900" s="165"/>
      <c r="AA900" s="165"/>
      <c r="AB900" s="165"/>
      <c r="AC900" s="165"/>
      <c r="AD900" s="165"/>
      <c r="AE900" s="165"/>
      <c r="AF900" s="165"/>
      <c r="AG900" s="165"/>
      <c r="AH900" s="165"/>
      <c r="AI900" s="165"/>
      <c r="AJ900" s="165"/>
      <c r="AK900" s="165"/>
      <c r="AL900" s="165"/>
      <c r="AM900" s="165"/>
      <c r="AN900" s="165"/>
      <c r="AO900" s="165"/>
      <c r="AP900" s="165"/>
      <c r="AQ900" s="165"/>
    </row>
    <row r="901" ht="15.75" customHeight="1">
      <c r="H901" s="440"/>
      <c r="U901" s="441"/>
      <c r="V901" s="441"/>
      <c r="W901" s="441"/>
      <c r="X901" s="441"/>
      <c r="Y901" s="442"/>
      <c r="Z901" s="165"/>
      <c r="AA901" s="165"/>
      <c r="AB901" s="165"/>
      <c r="AC901" s="165"/>
      <c r="AD901" s="165"/>
      <c r="AE901" s="165"/>
      <c r="AF901" s="165"/>
      <c r="AG901" s="165"/>
      <c r="AH901" s="165"/>
      <c r="AI901" s="165"/>
      <c r="AJ901" s="165"/>
      <c r="AK901" s="165"/>
      <c r="AL901" s="165"/>
      <c r="AM901" s="165"/>
      <c r="AN901" s="165"/>
      <c r="AO901" s="165"/>
      <c r="AP901" s="165"/>
      <c r="AQ901" s="165"/>
    </row>
    <row r="902" ht="15.75" customHeight="1">
      <c r="H902" s="440"/>
      <c r="U902" s="441"/>
      <c r="V902" s="441"/>
      <c r="W902" s="441"/>
      <c r="X902" s="441"/>
      <c r="Y902" s="442"/>
      <c r="Z902" s="165"/>
      <c r="AA902" s="165"/>
      <c r="AB902" s="165"/>
      <c r="AC902" s="165"/>
      <c r="AD902" s="165"/>
      <c r="AE902" s="165"/>
      <c r="AF902" s="165"/>
      <c r="AG902" s="165"/>
      <c r="AH902" s="165"/>
      <c r="AI902" s="165"/>
      <c r="AJ902" s="165"/>
      <c r="AK902" s="165"/>
      <c r="AL902" s="165"/>
      <c r="AM902" s="165"/>
      <c r="AN902" s="165"/>
      <c r="AO902" s="165"/>
      <c r="AP902" s="165"/>
      <c r="AQ902" s="165"/>
    </row>
    <row r="903" ht="15.75" customHeight="1">
      <c r="H903" s="440"/>
      <c r="U903" s="441"/>
      <c r="V903" s="441"/>
      <c r="W903" s="441"/>
      <c r="X903" s="441"/>
      <c r="Y903" s="442"/>
      <c r="Z903" s="165"/>
      <c r="AA903" s="165"/>
      <c r="AB903" s="165"/>
      <c r="AC903" s="165"/>
      <c r="AD903" s="165"/>
      <c r="AE903" s="165"/>
      <c r="AF903" s="165"/>
      <c r="AG903" s="165"/>
      <c r="AH903" s="165"/>
      <c r="AI903" s="165"/>
      <c r="AJ903" s="165"/>
      <c r="AK903" s="165"/>
      <c r="AL903" s="165"/>
      <c r="AM903" s="165"/>
      <c r="AN903" s="165"/>
      <c r="AO903" s="165"/>
      <c r="AP903" s="165"/>
      <c r="AQ903" s="165"/>
    </row>
    <row r="904" ht="15.75" customHeight="1">
      <c r="H904" s="440"/>
      <c r="U904" s="441"/>
      <c r="V904" s="441"/>
      <c r="W904" s="441"/>
      <c r="X904" s="441"/>
      <c r="Y904" s="442"/>
      <c r="Z904" s="165"/>
      <c r="AA904" s="165"/>
      <c r="AB904" s="165"/>
      <c r="AC904" s="165"/>
      <c r="AD904" s="165"/>
      <c r="AE904" s="165"/>
      <c r="AF904" s="165"/>
      <c r="AG904" s="165"/>
      <c r="AH904" s="165"/>
      <c r="AI904" s="165"/>
      <c r="AJ904" s="165"/>
      <c r="AK904" s="165"/>
      <c r="AL904" s="165"/>
      <c r="AM904" s="165"/>
      <c r="AN904" s="165"/>
      <c r="AO904" s="165"/>
      <c r="AP904" s="165"/>
      <c r="AQ904" s="165"/>
    </row>
    <row r="905" ht="15.75" customHeight="1">
      <c r="H905" s="440"/>
      <c r="U905" s="441"/>
      <c r="V905" s="441"/>
      <c r="W905" s="441"/>
      <c r="X905" s="441"/>
      <c r="Y905" s="442"/>
      <c r="Z905" s="165"/>
      <c r="AA905" s="165"/>
      <c r="AB905" s="165"/>
      <c r="AC905" s="165"/>
      <c r="AD905" s="165"/>
      <c r="AE905" s="165"/>
      <c r="AF905" s="165"/>
      <c r="AG905" s="165"/>
      <c r="AH905" s="165"/>
      <c r="AI905" s="165"/>
      <c r="AJ905" s="165"/>
      <c r="AK905" s="165"/>
      <c r="AL905" s="165"/>
      <c r="AM905" s="165"/>
      <c r="AN905" s="165"/>
      <c r="AO905" s="165"/>
      <c r="AP905" s="165"/>
      <c r="AQ905" s="165"/>
    </row>
    <row r="906" ht="15.75" customHeight="1">
      <c r="H906" s="440"/>
      <c r="U906" s="441"/>
      <c r="V906" s="441"/>
      <c r="W906" s="441"/>
      <c r="X906" s="441"/>
      <c r="Y906" s="442"/>
      <c r="Z906" s="165"/>
      <c r="AA906" s="165"/>
      <c r="AB906" s="165"/>
      <c r="AC906" s="165"/>
      <c r="AD906" s="165"/>
      <c r="AE906" s="165"/>
      <c r="AF906" s="165"/>
      <c r="AG906" s="165"/>
      <c r="AH906" s="165"/>
      <c r="AI906" s="165"/>
      <c r="AJ906" s="165"/>
      <c r="AK906" s="165"/>
      <c r="AL906" s="165"/>
      <c r="AM906" s="165"/>
      <c r="AN906" s="165"/>
      <c r="AO906" s="165"/>
      <c r="AP906" s="165"/>
      <c r="AQ906" s="165"/>
    </row>
    <row r="907" ht="15.75" customHeight="1">
      <c r="H907" s="440"/>
      <c r="U907" s="441"/>
      <c r="V907" s="441"/>
      <c r="W907" s="441"/>
      <c r="X907" s="441"/>
      <c r="Y907" s="442"/>
      <c r="Z907" s="165"/>
      <c r="AA907" s="165"/>
      <c r="AB907" s="165"/>
      <c r="AC907" s="165"/>
      <c r="AD907" s="165"/>
      <c r="AE907" s="165"/>
      <c r="AF907" s="165"/>
      <c r="AG907" s="165"/>
      <c r="AH907" s="165"/>
      <c r="AI907" s="165"/>
      <c r="AJ907" s="165"/>
      <c r="AK907" s="165"/>
      <c r="AL907" s="165"/>
      <c r="AM907" s="165"/>
      <c r="AN907" s="165"/>
      <c r="AO907" s="165"/>
      <c r="AP907" s="165"/>
      <c r="AQ907" s="165"/>
    </row>
    <row r="908" ht="15.75" customHeight="1">
      <c r="H908" s="440"/>
      <c r="U908" s="441"/>
      <c r="V908" s="441"/>
      <c r="W908" s="441"/>
      <c r="X908" s="441"/>
      <c r="Y908" s="442"/>
      <c r="Z908" s="165"/>
      <c r="AA908" s="165"/>
      <c r="AB908" s="165"/>
      <c r="AC908" s="165"/>
      <c r="AD908" s="165"/>
      <c r="AE908" s="165"/>
      <c r="AF908" s="165"/>
      <c r="AG908" s="165"/>
      <c r="AH908" s="165"/>
      <c r="AI908" s="165"/>
      <c r="AJ908" s="165"/>
      <c r="AK908" s="165"/>
      <c r="AL908" s="165"/>
      <c r="AM908" s="165"/>
      <c r="AN908" s="165"/>
      <c r="AO908" s="165"/>
      <c r="AP908" s="165"/>
      <c r="AQ908" s="165"/>
    </row>
    <row r="909" ht="15.75" customHeight="1">
      <c r="H909" s="440"/>
      <c r="U909" s="441"/>
      <c r="V909" s="441"/>
      <c r="W909" s="441"/>
      <c r="X909" s="441"/>
      <c r="Y909" s="442"/>
      <c r="Z909" s="165"/>
      <c r="AA909" s="165"/>
      <c r="AB909" s="165"/>
      <c r="AC909" s="165"/>
      <c r="AD909" s="165"/>
      <c r="AE909" s="165"/>
      <c r="AF909" s="165"/>
      <c r="AG909" s="165"/>
      <c r="AH909" s="165"/>
      <c r="AI909" s="165"/>
      <c r="AJ909" s="165"/>
      <c r="AK909" s="165"/>
      <c r="AL909" s="165"/>
      <c r="AM909" s="165"/>
      <c r="AN909" s="165"/>
      <c r="AO909" s="165"/>
      <c r="AP909" s="165"/>
      <c r="AQ909" s="165"/>
    </row>
    <row r="910" ht="15.75" customHeight="1">
      <c r="H910" s="440"/>
      <c r="U910" s="441"/>
      <c r="V910" s="441"/>
      <c r="W910" s="441"/>
      <c r="X910" s="441"/>
      <c r="Y910" s="442"/>
      <c r="Z910" s="165"/>
      <c r="AA910" s="165"/>
      <c r="AB910" s="165"/>
      <c r="AC910" s="165"/>
      <c r="AD910" s="165"/>
      <c r="AE910" s="165"/>
      <c r="AF910" s="165"/>
      <c r="AG910" s="165"/>
      <c r="AH910" s="165"/>
      <c r="AI910" s="165"/>
      <c r="AJ910" s="165"/>
      <c r="AK910" s="165"/>
      <c r="AL910" s="165"/>
      <c r="AM910" s="165"/>
      <c r="AN910" s="165"/>
      <c r="AO910" s="165"/>
      <c r="AP910" s="165"/>
      <c r="AQ910" s="165"/>
    </row>
    <row r="911" ht="15.75" customHeight="1">
      <c r="H911" s="440"/>
      <c r="U911" s="441"/>
      <c r="V911" s="441"/>
      <c r="W911" s="441"/>
      <c r="X911" s="441"/>
      <c r="Y911" s="442"/>
      <c r="Z911" s="165"/>
      <c r="AA911" s="165"/>
      <c r="AB911" s="165"/>
      <c r="AC911" s="165"/>
      <c r="AD911" s="165"/>
      <c r="AE911" s="165"/>
      <c r="AF911" s="165"/>
      <c r="AG911" s="165"/>
      <c r="AH911" s="165"/>
      <c r="AI911" s="165"/>
      <c r="AJ911" s="165"/>
      <c r="AK911" s="165"/>
      <c r="AL911" s="165"/>
      <c r="AM911" s="165"/>
      <c r="AN911" s="165"/>
      <c r="AO911" s="165"/>
      <c r="AP911" s="165"/>
      <c r="AQ911" s="165"/>
    </row>
    <row r="912" ht="15.75" customHeight="1">
      <c r="H912" s="440"/>
      <c r="U912" s="441"/>
      <c r="V912" s="441"/>
      <c r="W912" s="441"/>
      <c r="X912" s="441"/>
      <c r="Y912" s="442"/>
      <c r="Z912" s="165"/>
      <c r="AA912" s="165"/>
      <c r="AB912" s="165"/>
      <c r="AC912" s="165"/>
      <c r="AD912" s="165"/>
      <c r="AE912" s="165"/>
      <c r="AF912" s="165"/>
      <c r="AG912" s="165"/>
      <c r="AH912" s="165"/>
      <c r="AI912" s="165"/>
      <c r="AJ912" s="165"/>
      <c r="AK912" s="165"/>
      <c r="AL912" s="165"/>
      <c r="AM912" s="165"/>
      <c r="AN912" s="165"/>
      <c r="AO912" s="165"/>
      <c r="AP912" s="165"/>
      <c r="AQ912" s="165"/>
    </row>
    <row r="913" ht="15.75" customHeight="1">
      <c r="H913" s="440"/>
      <c r="U913" s="441"/>
      <c r="V913" s="441"/>
      <c r="W913" s="441"/>
      <c r="X913" s="441"/>
      <c r="Y913" s="442"/>
      <c r="Z913" s="165"/>
      <c r="AA913" s="165"/>
      <c r="AB913" s="165"/>
      <c r="AC913" s="165"/>
      <c r="AD913" s="165"/>
      <c r="AE913" s="165"/>
      <c r="AF913" s="165"/>
      <c r="AG913" s="165"/>
      <c r="AH913" s="165"/>
      <c r="AI913" s="165"/>
      <c r="AJ913" s="165"/>
      <c r="AK913" s="165"/>
      <c r="AL913" s="165"/>
      <c r="AM913" s="165"/>
      <c r="AN913" s="165"/>
      <c r="AO913" s="165"/>
      <c r="AP913" s="165"/>
      <c r="AQ913" s="165"/>
    </row>
    <row r="914" ht="15.75" customHeight="1">
      <c r="H914" s="440"/>
      <c r="U914" s="441"/>
      <c r="V914" s="441"/>
      <c r="W914" s="441"/>
      <c r="X914" s="441"/>
      <c r="Y914" s="442"/>
      <c r="Z914" s="165"/>
      <c r="AA914" s="165"/>
      <c r="AB914" s="165"/>
      <c r="AC914" s="165"/>
      <c r="AD914" s="165"/>
      <c r="AE914" s="165"/>
      <c r="AF914" s="165"/>
      <c r="AG914" s="165"/>
      <c r="AH914" s="165"/>
      <c r="AI914" s="165"/>
      <c r="AJ914" s="165"/>
      <c r="AK914" s="165"/>
      <c r="AL914" s="165"/>
      <c r="AM914" s="165"/>
      <c r="AN914" s="165"/>
      <c r="AO914" s="165"/>
      <c r="AP914" s="165"/>
      <c r="AQ914" s="165"/>
    </row>
    <row r="915" ht="15.75" customHeight="1">
      <c r="H915" s="440"/>
      <c r="U915" s="441"/>
      <c r="V915" s="441"/>
      <c r="W915" s="441"/>
      <c r="X915" s="441"/>
      <c r="Y915" s="442"/>
      <c r="Z915" s="165"/>
      <c r="AA915" s="165"/>
      <c r="AB915" s="165"/>
      <c r="AC915" s="165"/>
      <c r="AD915" s="165"/>
      <c r="AE915" s="165"/>
      <c r="AF915" s="165"/>
      <c r="AG915" s="165"/>
      <c r="AH915" s="165"/>
      <c r="AI915" s="165"/>
      <c r="AJ915" s="165"/>
      <c r="AK915" s="165"/>
      <c r="AL915" s="165"/>
      <c r="AM915" s="165"/>
      <c r="AN915" s="165"/>
      <c r="AO915" s="165"/>
      <c r="AP915" s="165"/>
      <c r="AQ915" s="165"/>
    </row>
    <row r="916" ht="15.75" customHeight="1">
      <c r="H916" s="440"/>
      <c r="U916" s="441"/>
      <c r="V916" s="441"/>
      <c r="W916" s="441"/>
      <c r="X916" s="441"/>
      <c r="Y916" s="442"/>
      <c r="Z916" s="165"/>
      <c r="AA916" s="165"/>
      <c r="AB916" s="165"/>
      <c r="AC916" s="165"/>
      <c r="AD916" s="165"/>
      <c r="AE916" s="165"/>
      <c r="AF916" s="165"/>
      <c r="AG916" s="165"/>
      <c r="AH916" s="165"/>
      <c r="AI916" s="165"/>
      <c r="AJ916" s="165"/>
      <c r="AK916" s="165"/>
      <c r="AL916" s="165"/>
      <c r="AM916" s="165"/>
      <c r="AN916" s="165"/>
      <c r="AO916" s="165"/>
      <c r="AP916" s="165"/>
      <c r="AQ916" s="165"/>
    </row>
    <row r="917" ht="15.75" customHeight="1">
      <c r="H917" s="440"/>
      <c r="U917" s="441"/>
      <c r="V917" s="441"/>
      <c r="W917" s="441"/>
      <c r="X917" s="441"/>
      <c r="Y917" s="442"/>
      <c r="Z917" s="165"/>
      <c r="AA917" s="165"/>
      <c r="AB917" s="165"/>
      <c r="AC917" s="165"/>
      <c r="AD917" s="165"/>
      <c r="AE917" s="165"/>
      <c r="AF917" s="165"/>
      <c r="AG917" s="165"/>
      <c r="AH917" s="165"/>
      <c r="AI917" s="165"/>
      <c r="AJ917" s="165"/>
      <c r="AK917" s="165"/>
      <c r="AL917" s="165"/>
      <c r="AM917" s="165"/>
      <c r="AN917" s="165"/>
      <c r="AO917" s="165"/>
      <c r="AP917" s="165"/>
      <c r="AQ917" s="165"/>
    </row>
    <row r="918" ht="15.75" customHeight="1">
      <c r="H918" s="440"/>
      <c r="U918" s="441"/>
      <c r="V918" s="441"/>
      <c r="W918" s="441"/>
      <c r="X918" s="441"/>
      <c r="Y918" s="442"/>
      <c r="Z918" s="165"/>
      <c r="AA918" s="165"/>
      <c r="AB918" s="165"/>
      <c r="AC918" s="165"/>
      <c r="AD918" s="165"/>
      <c r="AE918" s="165"/>
      <c r="AF918" s="165"/>
      <c r="AG918" s="165"/>
      <c r="AH918" s="165"/>
      <c r="AI918" s="165"/>
      <c r="AJ918" s="165"/>
      <c r="AK918" s="165"/>
      <c r="AL918" s="165"/>
      <c r="AM918" s="165"/>
      <c r="AN918" s="165"/>
      <c r="AO918" s="165"/>
      <c r="AP918" s="165"/>
      <c r="AQ918" s="165"/>
    </row>
    <row r="919" ht="15.75" customHeight="1">
      <c r="H919" s="440"/>
      <c r="U919" s="441"/>
      <c r="V919" s="441"/>
      <c r="W919" s="441"/>
      <c r="X919" s="441"/>
      <c r="Y919" s="442"/>
      <c r="Z919" s="165"/>
      <c r="AA919" s="165"/>
      <c r="AB919" s="165"/>
      <c r="AC919" s="165"/>
      <c r="AD919" s="165"/>
      <c r="AE919" s="165"/>
      <c r="AF919" s="165"/>
      <c r="AG919" s="165"/>
      <c r="AH919" s="165"/>
      <c r="AI919" s="165"/>
      <c r="AJ919" s="165"/>
      <c r="AK919" s="165"/>
      <c r="AL919" s="165"/>
      <c r="AM919" s="165"/>
      <c r="AN919" s="165"/>
      <c r="AO919" s="165"/>
      <c r="AP919" s="165"/>
      <c r="AQ919" s="165"/>
    </row>
    <row r="920" ht="15.75" customHeight="1">
      <c r="H920" s="440"/>
      <c r="U920" s="441"/>
      <c r="V920" s="441"/>
      <c r="W920" s="441"/>
      <c r="X920" s="441"/>
      <c r="Y920" s="442"/>
      <c r="Z920" s="165"/>
      <c r="AA920" s="165"/>
      <c r="AB920" s="165"/>
      <c r="AC920" s="165"/>
      <c r="AD920" s="165"/>
      <c r="AE920" s="165"/>
      <c r="AF920" s="165"/>
      <c r="AG920" s="165"/>
      <c r="AH920" s="165"/>
      <c r="AI920" s="165"/>
      <c r="AJ920" s="165"/>
      <c r="AK920" s="165"/>
      <c r="AL920" s="165"/>
      <c r="AM920" s="165"/>
      <c r="AN920" s="165"/>
      <c r="AO920" s="165"/>
      <c r="AP920" s="165"/>
      <c r="AQ920" s="165"/>
    </row>
    <row r="921" ht="15.75" customHeight="1">
      <c r="H921" s="440"/>
      <c r="U921" s="441"/>
      <c r="V921" s="441"/>
      <c r="W921" s="441"/>
      <c r="X921" s="441"/>
      <c r="Y921" s="442"/>
      <c r="Z921" s="165"/>
      <c r="AA921" s="165"/>
      <c r="AB921" s="165"/>
      <c r="AC921" s="165"/>
      <c r="AD921" s="165"/>
      <c r="AE921" s="165"/>
      <c r="AF921" s="165"/>
      <c r="AG921" s="165"/>
      <c r="AH921" s="165"/>
      <c r="AI921" s="165"/>
      <c r="AJ921" s="165"/>
      <c r="AK921" s="165"/>
      <c r="AL921" s="165"/>
      <c r="AM921" s="165"/>
      <c r="AN921" s="165"/>
      <c r="AO921" s="165"/>
      <c r="AP921" s="165"/>
      <c r="AQ921" s="165"/>
    </row>
    <row r="922" ht="15.75" customHeight="1">
      <c r="H922" s="440"/>
      <c r="U922" s="441"/>
      <c r="V922" s="441"/>
      <c r="W922" s="441"/>
      <c r="X922" s="441"/>
      <c r="Y922" s="442"/>
      <c r="Z922" s="165"/>
      <c r="AA922" s="165"/>
      <c r="AB922" s="165"/>
      <c r="AC922" s="165"/>
      <c r="AD922" s="165"/>
      <c r="AE922" s="165"/>
      <c r="AF922" s="165"/>
      <c r="AG922" s="165"/>
      <c r="AH922" s="165"/>
      <c r="AI922" s="165"/>
      <c r="AJ922" s="165"/>
      <c r="AK922" s="165"/>
      <c r="AL922" s="165"/>
      <c r="AM922" s="165"/>
      <c r="AN922" s="165"/>
      <c r="AO922" s="165"/>
      <c r="AP922" s="165"/>
      <c r="AQ922" s="165"/>
    </row>
    <row r="923" ht="15.75" customHeight="1">
      <c r="H923" s="440"/>
      <c r="U923" s="441"/>
      <c r="V923" s="441"/>
      <c r="W923" s="441"/>
      <c r="X923" s="441"/>
      <c r="Y923" s="442"/>
      <c r="Z923" s="165"/>
      <c r="AA923" s="165"/>
      <c r="AB923" s="165"/>
      <c r="AC923" s="165"/>
      <c r="AD923" s="165"/>
      <c r="AE923" s="165"/>
      <c r="AF923" s="165"/>
      <c r="AG923" s="165"/>
      <c r="AH923" s="165"/>
      <c r="AI923" s="165"/>
      <c r="AJ923" s="165"/>
      <c r="AK923" s="165"/>
      <c r="AL923" s="165"/>
      <c r="AM923" s="165"/>
      <c r="AN923" s="165"/>
      <c r="AO923" s="165"/>
      <c r="AP923" s="165"/>
      <c r="AQ923" s="165"/>
    </row>
    <row r="924" ht="15.75" customHeight="1">
      <c r="H924" s="440"/>
      <c r="U924" s="441"/>
      <c r="V924" s="441"/>
      <c r="W924" s="441"/>
      <c r="X924" s="441"/>
      <c r="Y924" s="442"/>
      <c r="Z924" s="165"/>
      <c r="AA924" s="165"/>
      <c r="AB924" s="165"/>
      <c r="AC924" s="165"/>
      <c r="AD924" s="165"/>
      <c r="AE924" s="165"/>
      <c r="AF924" s="165"/>
      <c r="AG924" s="165"/>
      <c r="AH924" s="165"/>
      <c r="AI924" s="165"/>
      <c r="AJ924" s="165"/>
      <c r="AK924" s="165"/>
      <c r="AL924" s="165"/>
      <c r="AM924" s="165"/>
      <c r="AN924" s="165"/>
      <c r="AO924" s="165"/>
      <c r="AP924" s="165"/>
      <c r="AQ924" s="165"/>
    </row>
    <row r="925" ht="15.75" customHeight="1">
      <c r="H925" s="440"/>
      <c r="U925" s="441"/>
      <c r="V925" s="441"/>
      <c r="W925" s="441"/>
      <c r="X925" s="441"/>
      <c r="Y925" s="442"/>
      <c r="Z925" s="165"/>
      <c r="AA925" s="165"/>
      <c r="AB925" s="165"/>
      <c r="AC925" s="165"/>
      <c r="AD925" s="165"/>
      <c r="AE925" s="165"/>
      <c r="AF925" s="165"/>
      <c r="AG925" s="165"/>
      <c r="AH925" s="165"/>
      <c r="AI925" s="165"/>
      <c r="AJ925" s="165"/>
      <c r="AK925" s="165"/>
      <c r="AL925" s="165"/>
      <c r="AM925" s="165"/>
      <c r="AN925" s="165"/>
      <c r="AO925" s="165"/>
      <c r="AP925" s="165"/>
      <c r="AQ925" s="165"/>
    </row>
    <row r="926" ht="15.75" customHeight="1">
      <c r="H926" s="440"/>
      <c r="U926" s="441"/>
      <c r="V926" s="441"/>
      <c r="W926" s="441"/>
      <c r="X926" s="441"/>
      <c r="Y926" s="442"/>
      <c r="Z926" s="165"/>
      <c r="AA926" s="165"/>
      <c r="AB926" s="165"/>
      <c r="AC926" s="165"/>
      <c r="AD926" s="165"/>
      <c r="AE926" s="165"/>
      <c r="AF926" s="165"/>
      <c r="AG926" s="165"/>
      <c r="AH926" s="165"/>
      <c r="AI926" s="165"/>
      <c r="AJ926" s="165"/>
      <c r="AK926" s="165"/>
      <c r="AL926" s="165"/>
      <c r="AM926" s="165"/>
      <c r="AN926" s="165"/>
      <c r="AO926" s="165"/>
      <c r="AP926" s="165"/>
      <c r="AQ926" s="165"/>
    </row>
    <row r="927" ht="15.75" customHeight="1">
      <c r="H927" s="440"/>
      <c r="U927" s="441"/>
      <c r="V927" s="441"/>
      <c r="W927" s="441"/>
      <c r="X927" s="441"/>
      <c r="Y927" s="442"/>
      <c r="Z927" s="165"/>
      <c r="AA927" s="165"/>
      <c r="AB927" s="165"/>
      <c r="AC927" s="165"/>
      <c r="AD927" s="165"/>
      <c r="AE927" s="165"/>
      <c r="AF927" s="165"/>
      <c r="AG927" s="165"/>
      <c r="AH927" s="165"/>
      <c r="AI927" s="165"/>
      <c r="AJ927" s="165"/>
      <c r="AK927" s="165"/>
      <c r="AL927" s="165"/>
      <c r="AM927" s="165"/>
      <c r="AN927" s="165"/>
      <c r="AO927" s="165"/>
      <c r="AP927" s="165"/>
      <c r="AQ927" s="165"/>
    </row>
    <row r="928" ht="15.75" customHeight="1">
      <c r="H928" s="440"/>
      <c r="U928" s="441"/>
      <c r="V928" s="441"/>
      <c r="W928" s="441"/>
      <c r="X928" s="441"/>
      <c r="Y928" s="442"/>
      <c r="Z928" s="165"/>
      <c r="AA928" s="165"/>
      <c r="AB928" s="165"/>
      <c r="AC928" s="165"/>
      <c r="AD928" s="165"/>
      <c r="AE928" s="165"/>
      <c r="AF928" s="165"/>
      <c r="AG928" s="165"/>
      <c r="AH928" s="165"/>
      <c r="AI928" s="165"/>
      <c r="AJ928" s="165"/>
      <c r="AK928" s="165"/>
      <c r="AL928" s="165"/>
      <c r="AM928" s="165"/>
      <c r="AN928" s="165"/>
      <c r="AO928" s="165"/>
      <c r="AP928" s="165"/>
      <c r="AQ928" s="165"/>
    </row>
    <row r="929" ht="15.75" customHeight="1">
      <c r="H929" s="440"/>
      <c r="U929" s="441"/>
      <c r="V929" s="441"/>
      <c r="W929" s="441"/>
      <c r="X929" s="441"/>
      <c r="Y929" s="442"/>
      <c r="Z929" s="165"/>
      <c r="AA929" s="165"/>
      <c r="AB929" s="165"/>
      <c r="AC929" s="165"/>
      <c r="AD929" s="165"/>
      <c r="AE929" s="165"/>
      <c r="AF929" s="165"/>
      <c r="AG929" s="165"/>
      <c r="AH929" s="165"/>
      <c r="AI929" s="165"/>
      <c r="AJ929" s="165"/>
      <c r="AK929" s="165"/>
      <c r="AL929" s="165"/>
      <c r="AM929" s="165"/>
      <c r="AN929" s="165"/>
      <c r="AO929" s="165"/>
      <c r="AP929" s="165"/>
      <c r="AQ929" s="165"/>
    </row>
    <row r="930" ht="15.75" customHeight="1">
      <c r="H930" s="440"/>
      <c r="U930" s="441"/>
      <c r="V930" s="441"/>
      <c r="W930" s="441"/>
      <c r="X930" s="441"/>
      <c r="Y930" s="442"/>
      <c r="Z930" s="165"/>
      <c r="AA930" s="165"/>
      <c r="AB930" s="165"/>
      <c r="AC930" s="165"/>
      <c r="AD930" s="165"/>
      <c r="AE930" s="165"/>
      <c r="AF930" s="165"/>
      <c r="AG930" s="165"/>
      <c r="AH930" s="165"/>
      <c r="AI930" s="165"/>
      <c r="AJ930" s="165"/>
      <c r="AK930" s="165"/>
      <c r="AL930" s="165"/>
      <c r="AM930" s="165"/>
      <c r="AN930" s="165"/>
      <c r="AO930" s="165"/>
      <c r="AP930" s="165"/>
      <c r="AQ930" s="165"/>
    </row>
    <row r="931" ht="15.75" customHeight="1">
      <c r="H931" s="440"/>
      <c r="U931" s="441"/>
      <c r="V931" s="441"/>
      <c r="W931" s="441"/>
      <c r="X931" s="441"/>
      <c r="Y931" s="442"/>
      <c r="Z931" s="165"/>
      <c r="AA931" s="165"/>
      <c r="AB931" s="165"/>
      <c r="AC931" s="165"/>
      <c r="AD931" s="165"/>
      <c r="AE931" s="165"/>
      <c r="AF931" s="165"/>
      <c r="AG931" s="165"/>
      <c r="AH931" s="165"/>
      <c r="AI931" s="165"/>
      <c r="AJ931" s="165"/>
      <c r="AK931" s="165"/>
      <c r="AL931" s="165"/>
      <c r="AM931" s="165"/>
      <c r="AN931" s="165"/>
      <c r="AO931" s="165"/>
      <c r="AP931" s="165"/>
      <c r="AQ931" s="165"/>
    </row>
    <row r="932" ht="15.75" customHeight="1">
      <c r="H932" s="440"/>
      <c r="U932" s="441"/>
      <c r="V932" s="441"/>
      <c r="W932" s="441"/>
      <c r="X932" s="441"/>
      <c r="Y932" s="442"/>
      <c r="Z932" s="165"/>
      <c r="AA932" s="165"/>
      <c r="AB932" s="165"/>
      <c r="AC932" s="165"/>
      <c r="AD932" s="165"/>
      <c r="AE932" s="165"/>
      <c r="AF932" s="165"/>
      <c r="AG932" s="165"/>
      <c r="AH932" s="165"/>
      <c r="AI932" s="165"/>
      <c r="AJ932" s="165"/>
      <c r="AK932" s="165"/>
      <c r="AL932" s="165"/>
      <c r="AM932" s="165"/>
      <c r="AN932" s="165"/>
      <c r="AO932" s="165"/>
      <c r="AP932" s="165"/>
      <c r="AQ932" s="165"/>
    </row>
    <row r="933" ht="15.75" customHeight="1">
      <c r="H933" s="440"/>
      <c r="U933" s="441"/>
      <c r="V933" s="441"/>
      <c r="W933" s="441"/>
      <c r="X933" s="441"/>
      <c r="Y933" s="442"/>
      <c r="Z933" s="165"/>
      <c r="AA933" s="165"/>
      <c r="AB933" s="165"/>
      <c r="AC933" s="165"/>
      <c r="AD933" s="165"/>
      <c r="AE933" s="165"/>
      <c r="AF933" s="165"/>
      <c r="AG933" s="165"/>
      <c r="AH933" s="165"/>
      <c r="AI933" s="165"/>
      <c r="AJ933" s="165"/>
      <c r="AK933" s="165"/>
      <c r="AL933" s="165"/>
      <c r="AM933" s="165"/>
      <c r="AN933" s="165"/>
      <c r="AO933" s="165"/>
      <c r="AP933" s="165"/>
      <c r="AQ933" s="165"/>
    </row>
    <row r="934" ht="15.75" customHeight="1">
      <c r="H934" s="440"/>
      <c r="U934" s="441"/>
      <c r="V934" s="441"/>
      <c r="W934" s="441"/>
      <c r="X934" s="441"/>
      <c r="Y934" s="442"/>
      <c r="Z934" s="165"/>
      <c r="AA934" s="165"/>
      <c r="AB934" s="165"/>
      <c r="AC934" s="165"/>
      <c r="AD934" s="165"/>
      <c r="AE934" s="165"/>
      <c r="AF934" s="165"/>
      <c r="AG934" s="165"/>
      <c r="AH934" s="165"/>
      <c r="AI934" s="165"/>
      <c r="AJ934" s="165"/>
      <c r="AK934" s="165"/>
      <c r="AL934" s="165"/>
      <c r="AM934" s="165"/>
      <c r="AN934" s="165"/>
      <c r="AO934" s="165"/>
      <c r="AP934" s="165"/>
      <c r="AQ934" s="165"/>
    </row>
    <row r="935" ht="15.75" customHeight="1">
      <c r="H935" s="440"/>
      <c r="U935" s="441"/>
      <c r="V935" s="441"/>
      <c r="W935" s="441"/>
      <c r="X935" s="441"/>
      <c r="Y935" s="442"/>
      <c r="Z935" s="165"/>
      <c r="AA935" s="165"/>
      <c r="AB935" s="165"/>
      <c r="AC935" s="165"/>
      <c r="AD935" s="165"/>
      <c r="AE935" s="165"/>
      <c r="AF935" s="165"/>
      <c r="AG935" s="165"/>
      <c r="AH935" s="165"/>
      <c r="AI935" s="165"/>
      <c r="AJ935" s="165"/>
      <c r="AK935" s="165"/>
      <c r="AL935" s="165"/>
      <c r="AM935" s="165"/>
      <c r="AN935" s="165"/>
      <c r="AO935" s="165"/>
      <c r="AP935" s="165"/>
      <c r="AQ935" s="165"/>
    </row>
    <row r="936" ht="15.75" customHeight="1">
      <c r="H936" s="440"/>
      <c r="U936" s="441"/>
      <c r="V936" s="441"/>
      <c r="W936" s="441"/>
      <c r="X936" s="441"/>
      <c r="Y936" s="442"/>
      <c r="Z936" s="165"/>
      <c r="AA936" s="165"/>
      <c r="AB936" s="165"/>
      <c r="AC936" s="165"/>
      <c r="AD936" s="165"/>
      <c r="AE936" s="165"/>
      <c r="AF936" s="165"/>
      <c r="AG936" s="165"/>
      <c r="AH936" s="165"/>
      <c r="AI936" s="165"/>
      <c r="AJ936" s="165"/>
      <c r="AK936" s="165"/>
      <c r="AL936" s="165"/>
      <c r="AM936" s="165"/>
      <c r="AN936" s="165"/>
      <c r="AO936" s="165"/>
      <c r="AP936" s="165"/>
      <c r="AQ936" s="165"/>
    </row>
    <row r="937" ht="15.75" customHeight="1">
      <c r="H937" s="440"/>
      <c r="U937" s="441"/>
      <c r="V937" s="441"/>
      <c r="W937" s="441"/>
      <c r="X937" s="441"/>
      <c r="Y937" s="442"/>
      <c r="Z937" s="165"/>
      <c r="AA937" s="165"/>
      <c r="AB937" s="165"/>
      <c r="AC937" s="165"/>
      <c r="AD937" s="165"/>
      <c r="AE937" s="165"/>
      <c r="AF937" s="165"/>
      <c r="AG937" s="165"/>
      <c r="AH937" s="165"/>
      <c r="AI937" s="165"/>
      <c r="AJ937" s="165"/>
      <c r="AK937" s="165"/>
      <c r="AL937" s="165"/>
      <c r="AM937" s="165"/>
      <c r="AN937" s="165"/>
      <c r="AO937" s="165"/>
      <c r="AP937" s="165"/>
      <c r="AQ937" s="165"/>
    </row>
    <row r="938" ht="15.75" customHeight="1">
      <c r="H938" s="440"/>
      <c r="U938" s="441"/>
      <c r="V938" s="441"/>
      <c r="W938" s="441"/>
      <c r="X938" s="441"/>
      <c r="Y938" s="442"/>
      <c r="Z938" s="165"/>
      <c r="AA938" s="165"/>
      <c r="AB938" s="165"/>
      <c r="AC938" s="165"/>
      <c r="AD938" s="165"/>
      <c r="AE938" s="165"/>
      <c r="AF938" s="165"/>
      <c r="AG938" s="165"/>
      <c r="AH938" s="165"/>
      <c r="AI938" s="165"/>
      <c r="AJ938" s="165"/>
      <c r="AK938" s="165"/>
      <c r="AL938" s="165"/>
      <c r="AM938" s="165"/>
      <c r="AN938" s="165"/>
      <c r="AO938" s="165"/>
      <c r="AP938" s="165"/>
      <c r="AQ938" s="165"/>
    </row>
    <row r="939" ht="15.75" customHeight="1">
      <c r="H939" s="440"/>
      <c r="U939" s="441"/>
      <c r="V939" s="441"/>
      <c r="W939" s="441"/>
      <c r="X939" s="441"/>
      <c r="Y939" s="442"/>
      <c r="Z939" s="165"/>
      <c r="AA939" s="165"/>
      <c r="AB939" s="165"/>
      <c r="AC939" s="165"/>
      <c r="AD939" s="165"/>
      <c r="AE939" s="165"/>
      <c r="AF939" s="165"/>
      <c r="AG939" s="165"/>
      <c r="AH939" s="165"/>
      <c r="AI939" s="165"/>
      <c r="AJ939" s="165"/>
      <c r="AK939" s="165"/>
      <c r="AL939" s="165"/>
      <c r="AM939" s="165"/>
      <c r="AN939" s="165"/>
      <c r="AO939" s="165"/>
      <c r="AP939" s="165"/>
      <c r="AQ939" s="165"/>
    </row>
    <row r="940" ht="15.75" customHeight="1">
      <c r="H940" s="440"/>
      <c r="U940" s="441"/>
      <c r="V940" s="441"/>
      <c r="W940" s="441"/>
      <c r="X940" s="441"/>
      <c r="Y940" s="442"/>
      <c r="Z940" s="165"/>
      <c r="AA940" s="165"/>
      <c r="AB940" s="165"/>
      <c r="AC940" s="165"/>
      <c r="AD940" s="165"/>
      <c r="AE940" s="165"/>
      <c r="AF940" s="165"/>
      <c r="AG940" s="165"/>
      <c r="AH940" s="165"/>
      <c r="AI940" s="165"/>
      <c r="AJ940" s="165"/>
      <c r="AK940" s="165"/>
      <c r="AL940" s="165"/>
      <c r="AM940" s="165"/>
      <c r="AN940" s="165"/>
      <c r="AO940" s="165"/>
      <c r="AP940" s="165"/>
      <c r="AQ940" s="165"/>
    </row>
    <row r="941" ht="15.75" customHeight="1">
      <c r="H941" s="440"/>
      <c r="U941" s="441"/>
      <c r="V941" s="441"/>
      <c r="W941" s="441"/>
      <c r="X941" s="441"/>
      <c r="Y941" s="442"/>
      <c r="Z941" s="165"/>
      <c r="AA941" s="165"/>
      <c r="AB941" s="165"/>
      <c r="AC941" s="165"/>
      <c r="AD941" s="165"/>
      <c r="AE941" s="165"/>
      <c r="AF941" s="165"/>
      <c r="AG941" s="165"/>
      <c r="AH941" s="165"/>
      <c r="AI941" s="165"/>
      <c r="AJ941" s="165"/>
      <c r="AK941" s="165"/>
      <c r="AL941" s="165"/>
      <c r="AM941" s="165"/>
      <c r="AN941" s="165"/>
      <c r="AO941" s="165"/>
      <c r="AP941" s="165"/>
      <c r="AQ941" s="165"/>
    </row>
    <row r="942" ht="15.75" customHeight="1">
      <c r="H942" s="440"/>
      <c r="U942" s="441"/>
      <c r="V942" s="441"/>
      <c r="W942" s="441"/>
      <c r="X942" s="441"/>
      <c r="Y942" s="442"/>
      <c r="Z942" s="165"/>
      <c r="AA942" s="165"/>
      <c r="AB942" s="165"/>
      <c r="AC942" s="165"/>
      <c r="AD942" s="165"/>
      <c r="AE942" s="165"/>
      <c r="AF942" s="165"/>
      <c r="AG942" s="165"/>
      <c r="AH942" s="165"/>
      <c r="AI942" s="165"/>
      <c r="AJ942" s="165"/>
      <c r="AK942" s="165"/>
      <c r="AL942" s="165"/>
      <c r="AM942" s="165"/>
      <c r="AN942" s="165"/>
      <c r="AO942" s="165"/>
      <c r="AP942" s="165"/>
      <c r="AQ942" s="165"/>
    </row>
    <row r="943" ht="15.75" customHeight="1">
      <c r="H943" s="440"/>
      <c r="U943" s="441"/>
      <c r="V943" s="441"/>
      <c r="W943" s="441"/>
      <c r="X943" s="441"/>
      <c r="Y943" s="442"/>
      <c r="Z943" s="165"/>
      <c r="AA943" s="165"/>
      <c r="AB943" s="165"/>
      <c r="AC943" s="165"/>
      <c r="AD943" s="165"/>
      <c r="AE943" s="165"/>
      <c r="AF943" s="165"/>
      <c r="AG943" s="165"/>
      <c r="AH943" s="165"/>
      <c r="AI943" s="165"/>
      <c r="AJ943" s="165"/>
      <c r="AK943" s="165"/>
      <c r="AL943" s="165"/>
      <c r="AM943" s="165"/>
      <c r="AN943" s="165"/>
      <c r="AO943" s="165"/>
      <c r="AP943" s="165"/>
      <c r="AQ943" s="165"/>
    </row>
    <row r="944" ht="15.75" customHeight="1">
      <c r="H944" s="440"/>
      <c r="U944" s="441"/>
      <c r="V944" s="441"/>
      <c r="W944" s="441"/>
      <c r="X944" s="441"/>
      <c r="Y944" s="442"/>
      <c r="Z944" s="165"/>
      <c r="AA944" s="165"/>
      <c r="AB944" s="165"/>
      <c r="AC944" s="165"/>
      <c r="AD944" s="165"/>
      <c r="AE944" s="165"/>
      <c r="AF944" s="165"/>
      <c r="AG944" s="165"/>
      <c r="AH944" s="165"/>
      <c r="AI944" s="165"/>
      <c r="AJ944" s="165"/>
      <c r="AK944" s="165"/>
      <c r="AL944" s="165"/>
      <c r="AM944" s="165"/>
      <c r="AN944" s="165"/>
      <c r="AO944" s="165"/>
      <c r="AP944" s="165"/>
      <c r="AQ944" s="165"/>
    </row>
    <row r="945" ht="15.75" customHeight="1">
      <c r="H945" s="440"/>
      <c r="U945" s="441"/>
      <c r="V945" s="441"/>
      <c r="W945" s="441"/>
      <c r="X945" s="441"/>
      <c r="Y945" s="442"/>
      <c r="Z945" s="165"/>
      <c r="AA945" s="165"/>
      <c r="AB945" s="165"/>
      <c r="AC945" s="165"/>
      <c r="AD945" s="165"/>
      <c r="AE945" s="165"/>
      <c r="AF945" s="165"/>
      <c r="AG945" s="165"/>
      <c r="AH945" s="165"/>
      <c r="AI945" s="165"/>
      <c r="AJ945" s="165"/>
      <c r="AK945" s="165"/>
      <c r="AL945" s="165"/>
      <c r="AM945" s="165"/>
      <c r="AN945" s="165"/>
      <c r="AO945" s="165"/>
      <c r="AP945" s="165"/>
      <c r="AQ945" s="165"/>
    </row>
    <row r="946" ht="15.75" customHeight="1">
      <c r="H946" s="440"/>
      <c r="U946" s="441"/>
      <c r="V946" s="441"/>
      <c r="W946" s="441"/>
      <c r="X946" s="441"/>
      <c r="Y946" s="442"/>
      <c r="Z946" s="165"/>
      <c r="AA946" s="165"/>
      <c r="AB946" s="165"/>
      <c r="AC946" s="165"/>
      <c r="AD946" s="165"/>
      <c r="AE946" s="165"/>
      <c r="AF946" s="165"/>
      <c r="AG946" s="165"/>
      <c r="AH946" s="165"/>
      <c r="AI946" s="165"/>
      <c r="AJ946" s="165"/>
      <c r="AK946" s="165"/>
      <c r="AL946" s="165"/>
      <c r="AM946" s="165"/>
      <c r="AN946" s="165"/>
      <c r="AO946" s="165"/>
      <c r="AP946" s="165"/>
      <c r="AQ946" s="165"/>
    </row>
    <row r="947" ht="15.75" customHeight="1">
      <c r="H947" s="440"/>
      <c r="U947" s="441"/>
      <c r="V947" s="441"/>
      <c r="W947" s="441"/>
      <c r="X947" s="441"/>
      <c r="Y947" s="442"/>
      <c r="Z947" s="165"/>
      <c r="AA947" s="165"/>
      <c r="AB947" s="165"/>
      <c r="AC947" s="165"/>
      <c r="AD947" s="165"/>
      <c r="AE947" s="165"/>
      <c r="AF947" s="165"/>
      <c r="AG947" s="165"/>
      <c r="AH947" s="165"/>
      <c r="AI947" s="165"/>
      <c r="AJ947" s="165"/>
      <c r="AK947" s="165"/>
      <c r="AL947" s="165"/>
      <c r="AM947" s="165"/>
      <c r="AN947" s="165"/>
      <c r="AO947" s="165"/>
      <c r="AP947" s="165"/>
      <c r="AQ947" s="165"/>
    </row>
    <row r="948" ht="15.75" customHeight="1">
      <c r="H948" s="440"/>
      <c r="U948" s="441"/>
      <c r="V948" s="441"/>
      <c r="W948" s="441"/>
      <c r="X948" s="441"/>
      <c r="Y948" s="442"/>
      <c r="Z948" s="165"/>
      <c r="AA948" s="165"/>
      <c r="AB948" s="165"/>
      <c r="AC948" s="165"/>
      <c r="AD948" s="165"/>
      <c r="AE948" s="165"/>
      <c r="AF948" s="165"/>
      <c r="AG948" s="165"/>
      <c r="AH948" s="165"/>
      <c r="AI948" s="165"/>
      <c r="AJ948" s="165"/>
      <c r="AK948" s="165"/>
      <c r="AL948" s="165"/>
      <c r="AM948" s="165"/>
      <c r="AN948" s="165"/>
      <c r="AO948" s="165"/>
      <c r="AP948" s="165"/>
      <c r="AQ948" s="165"/>
    </row>
    <row r="949" ht="15.75" customHeight="1">
      <c r="H949" s="440"/>
      <c r="U949" s="441"/>
      <c r="V949" s="441"/>
      <c r="W949" s="441"/>
      <c r="X949" s="441"/>
      <c r="Y949" s="442"/>
      <c r="Z949" s="165"/>
      <c r="AA949" s="165"/>
      <c r="AB949" s="165"/>
      <c r="AC949" s="165"/>
      <c r="AD949" s="165"/>
      <c r="AE949" s="165"/>
      <c r="AF949" s="165"/>
      <c r="AG949" s="165"/>
      <c r="AH949" s="165"/>
      <c r="AI949" s="165"/>
      <c r="AJ949" s="165"/>
      <c r="AK949" s="165"/>
      <c r="AL949" s="165"/>
      <c r="AM949" s="165"/>
      <c r="AN949" s="165"/>
      <c r="AO949" s="165"/>
      <c r="AP949" s="165"/>
      <c r="AQ949" s="165"/>
    </row>
    <row r="950" ht="15.75" customHeight="1">
      <c r="H950" s="440"/>
      <c r="U950" s="441"/>
      <c r="V950" s="441"/>
      <c r="W950" s="441"/>
      <c r="X950" s="441"/>
      <c r="Y950" s="442"/>
      <c r="Z950" s="165"/>
      <c r="AA950" s="165"/>
      <c r="AB950" s="165"/>
      <c r="AC950" s="165"/>
      <c r="AD950" s="165"/>
      <c r="AE950" s="165"/>
      <c r="AF950" s="165"/>
      <c r="AG950" s="165"/>
      <c r="AH950" s="165"/>
      <c r="AI950" s="165"/>
      <c r="AJ950" s="165"/>
      <c r="AK950" s="165"/>
      <c r="AL950" s="165"/>
      <c r="AM950" s="165"/>
      <c r="AN950" s="165"/>
      <c r="AO950" s="165"/>
      <c r="AP950" s="165"/>
      <c r="AQ950" s="165"/>
    </row>
    <row r="951" ht="15.75" customHeight="1">
      <c r="H951" s="440"/>
      <c r="U951" s="441"/>
      <c r="V951" s="441"/>
      <c r="W951" s="441"/>
      <c r="X951" s="441"/>
      <c r="Y951" s="442"/>
      <c r="Z951" s="165"/>
      <c r="AA951" s="165"/>
      <c r="AB951" s="165"/>
      <c r="AC951" s="165"/>
      <c r="AD951" s="165"/>
      <c r="AE951" s="165"/>
      <c r="AF951" s="165"/>
      <c r="AG951" s="165"/>
      <c r="AH951" s="165"/>
      <c r="AI951" s="165"/>
      <c r="AJ951" s="165"/>
      <c r="AK951" s="165"/>
      <c r="AL951" s="165"/>
      <c r="AM951" s="165"/>
      <c r="AN951" s="165"/>
      <c r="AO951" s="165"/>
      <c r="AP951" s="165"/>
      <c r="AQ951" s="165"/>
    </row>
    <row r="952" ht="15.75" customHeight="1">
      <c r="H952" s="440"/>
      <c r="U952" s="441"/>
      <c r="V952" s="441"/>
      <c r="W952" s="441"/>
      <c r="X952" s="441"/>
      <c r="Y952" s="442"/>
      <c r="Z952" s="165"/>
      <c r="AA952" s="165"/>
      <c r="AB952" s="165"/>
      <c r="AC952" s="165"/>
      <c r="AD952" s="165"/>
      <c r="AE952" s="165"/>
      <c r="AF952" s="165"/>
      <c r="AG952" s="165"/>
      <c r="AH952" s="165"/>
      <c r="AI952" s="165"/>
      <c r="AJ952" s="165"/>
      <c r="AK952" s="165"/>
      <c r="AL952" s="165"/>
      <c r="AM952" s="165"/>
      <c r="AN952" s="165"/>
      <c r="AO952" s="165"/>
      <c r="AP952" s="165"/>
      <c r="AQ952" s="165"/>
    </row>
    <row r="953" ht="15.75" customHeight="1">
      <c r="H953" s="440"/>
      <c r="U953" s="441"/>
      <c r="V953" s="441"/>
      <c r="W953" s="441"/>
      <c r="X953" s="441"/>
      <c r="Y953" s="442"/>
      <c r="Z953" s="165"/>
      <c r="AA953" s="165"/>
      <c r="AB953" s="165"/>
      <c r="AC953" s="165"/>
      <c r="AD953" s="165"/>
      <c r="AE953" s="165"/>
      <c r="AF953" s="165"/>
      <c r="AG953" s="165"/>
      <c r="AH953" s="165"/>
      <c r="AI953" s="165"/>
      <c r="AJ953" s="165"/>
      <c r="AK953" s="165"/>
      <c r="AL953" s="165"/>
      <c r="AM953" s="165"/>
      <c r="AN953" s="165"/>
      <c r="AO953" s="165"/>
      <c r="AP953" s="165"/>
      <c r="AQ953" s="165"/>
    </row>
    <row r="954" ht="15.75" customHeight="1">
      <c r="H954" s="440"/>
      <c r="U954" s="441"/>
      <c r="V954" s="441"/>
      <c r="W954" s="441"/>
      <c r="X954" s="441"/>
      <c r="Y954" s="442"/>
      <c r="Z954" s="165"/>
      <c r="AA954" s="165"/>
      <c r="AB954" s="165"/>
      <c r="AC954" s="165"/>
      <c r="AD954" s="165"/>
      <c r="AE954" s="165"/>
      <c r="AF954" s="165"/>
      <c r="AG954" s="165"/>
      <c r="AH954" s="165"/>
      <c r="AI954" s="165"/>
      <c r="AJ954" s="165"/>
      <c r="AK954" s="165"/>
      <c r="AL954" s="165"/>
      <c r="AM954" s="165"/>
      <c r="AN954" s="165"/>
      <c r="AO954" s="165"/>
      <c r="AP954" s="165"/>
      <c r="AQ954" s="165"/>
    </row>
    <row r="955" ht="15.75" customHeight="1">
      <c r="H955" s="440"/>
      <c r="U955" s="441"/>
      <c r="V955" s="441"/>
      <c r="W955" s="441"/>
      <c r="X955" s="441"/>
      <c r="Y955" s="442"/>
      <c r="Z955" s="165"/>
      <c r="AA955" s="165"/>
      <c r="AB955" s="165"/>
      <c r="AC955" s="165"/>
      <c r="AD955" s="165"/>
      <c r="AE955" s="165"/>
      <c r="AF955" s="165"/>
      <c r="AG955" s="165"/>
      <c r="AH955" s="165"/>
      <c r="AI955" s="165"/>
      <c r="AJ955" s="165"/>
      <c r="AK955" s="165"/>
      <c r="AL955" s="165"/>
      <c r="AM955" s="165"/>
      <c r="AN955" s="165"/>
      <c r="AO955" s="165"/>
      <c r="AP955" s="165"/>
      <c r="AQ955" s="165"/>
    </row>
    <row r="956" ht="15.75" customHeight="1">
      <c r="H956" s="440"/>
      <c r="U956" s="441"/>
      <c r="V956" s="441"/>
      <c r="W956" s="441"/>
      <c r="X956" s="441"/>
      <c r="Y956" s="442"/>
      <c r="Z956" s="165"/>
      <c r="AA956" s="165"/>
      <c r="AB956" s="165"/>
      <c r="AC956" s="165"/>
      <c r="AD956" s="165"/>
      <c r="AE956" s="165"/>
      <c r="AF956" s="165"/>
      <c r="AG956" s="165"/>
      <c r="AH956" s="165"/>
      <c r="AI956" s="165"/>
      <c r="AJ956" s="165"/>
      <c r="AK956" s="165"/>
      <c r="AL956" s="165"/>
      <c r="AM956" s="165"/>
      <c r="AN956" s="165"/>
      <c r="AO956" s="165"/>
      <c r="AP956" s="165"/>
      <c r="AQ956" s="165"/>
    </row>
    <row r="957" ht="15.75" customHeight="1">
      <c r="H957" s="440"/>
      <c r="U957" s="441"/>
      <c r="V957" s="441"/>
      <c r="W957" s="441"/>
      <c r="X957" s="441"/>
      <c r="Y957" s="442"/>
      <c r="Z957" s="165"/>
      <c r="AA957" s="165"/>
      <c r="AB957" s="165"/>
      <c r="AC957" s="165"/>
      <c r="AD957" s="165"/>
      <c r="AE957" s="165"/>
      <c r="AF957" s="165"/>
      <c r="AG957" s="165"/>
      <c r="AH957" s="165"/>
      <c r="AI957" s="165"/>
      <c r="AJ957" s="165"/>
      <c r="AK957" s="165"/>
      <c r="AL957" s="165"/>
      <c r="AM957" s="165"/>
      <c r="AN957" s="165"/>
      <c r="AO957" s="165"/>
      <c r="AP957" s="165"/>
      <c r="AQ957" s="165"/>
    </row>
    <row r="958" ht="15.75" customHeight="1">
      <c r="H958" s="440"/>
      <c r="U958" s="441"/>
      <c r="V958" s="441"/>
      <c r="W958" s="441"/>
      <c r="X958" s="441"/>
      <c r="Y958" s="442"/>
      <c r="Z958" s="165"/>
      <c r="AA958" s="165"/>
      <c r="AB958" s="165"/>
      <c r="AC958" s="165"/>
      <c r="AD958" s="165"/>
      <c r="AE958" s="165"/>
      <c r="AF958" s="165"/>
      <c r="AG958" s="165"/>
      <c r="AH958" s="165"/>
      <c r="AI958" s="165"/>
      <c r="AJ958" s="165"/>
      <c r="AK958" s="165"/>
      <c r="AL958" s="165"/>
      <c r="AM958" s="165"/>
      <c r="AN958" s="165"/>
      <c r="AO958" s="165"/>
      <c r="AP958" s="165"/>
      <c r="AQ958" s="165"/>
    </row>
    <row r="959" ht="15.75" customHeight="1">
      <c r="H959" s="440"/>
      <c r="U959" s="441"/>
      <c r="V959" s="441"/>
      <c r="W959" s="441"/>
      <c r="X959" s="441"/>
      <c r="Y959" s="442"/>
      <c r="Z959" s="165"/>
      <c r="AA959" s="165"/>
      <c r="AB959" s="165"/>
      <c r="AC959" s="165"/>
      <c r="AD959" s="165"/>
      <c r="AE959" s="165"/>
      <c r="AF959" s="165"/>
      <c r="AG959" s="165"/>
      <c r="AH959" s="165"/>
      <c r="AI959" s="165"/>
      <c r="AJ959" s="165"/>
      <c r="AK959" s="165"/>
      <c r="AL959" s="165"/>
      <c r="AM959" s="165"/>
      <c r="AN959" s="165"/>
      <c r="AO959" s="165"/>
      <c r="AP959" s="165"/>
      <c r="AQ959" s="165"/>
    </row>
    <row r="960" ht="15.75" customHeight="1">
      <c r="H960" s="440"/>
      <c r="U960" s="441"/>
      <c r="V960" s="441"/>
      <c r="W960" s="441"/>
      <c r="X960" s="441"/>
      <c r="Y960" s="442"/>
      <c r="Z960" s="165"/>
      <c r="AA960" s="165"/>
      <c r="AB960" s="165"/>
      <c r="AC960" s="165"/>
      <c r="AD960" s="165"/>
      <c r="AE960" s="165"/>
      <c r="AF960" s="165"/>
      <c r="AG960" s="165"/>
      <c r="AH960" s="165"/>
      <c r="AI960" s="165"/>
      <c r="AJ960" s="165"/>
      <c r="AK960" s="165"/>
      <c r="AL960" s="165"/>
      <c r="AM960" s="165"/>
      <c r="AN960" s="165"/>
      <c r="AO960" s="165"/>
      <c r="AP960" s="165"/>
      <c r="AQ960" s="165"/>
    </row>
    <row r="961" ht="15.75" customHeight="1">
      <c r="H961" s="440"/>
      <c r="U961" s="441"/>
      <c r="V961" s="441"/>
      <c r="W961" s="441"/>
      <c r="X961" s="441"/>
      <c r="Y961" s="442"/>
      <c r="Z961" s="165"/>
      <c r="AA961" s="165"/>
      <c r="AB961" s="165"/>
      <c r="AC961" s="165"/>
      <c r="AD961" s="165"/>
      <c r="AE961" s="165"/>
      <c r="AF961" s="165"/>
      <c r="AG961" s="165"/>
      <c r="AH961" s="165"/>
      <c r="AI961" s="165"/>
      <c r="AJ961" s="165"/>
      <c r="AK961" s="165"/>
      <c r="AL961" s="165"/>
      <c r="AM961" s="165"/>
      <c r="AN961" s="165"/>
      <c r="AO961" s="165"/>
      <c r="AP961" s="165"/>
      <c r="AQ961" s="165"/>
    </row>
    <row r="962" ht="15.75" customHeight="1">
      <c r="H962" s="440"/>
      <c r="U962" s="441"/>
      <c r="V962" s="441"/>
      <c r="W962" s="441"/>
      <c r="X962" s="441"/>
      <c r="Y962" s="442"/>
      <c r="Z962" s="165"/>
      <c r="AA962" s="165"/>
      <c r="AB962" s="165"/>
      <c r="AC962" s="165"/>
      <c r="AD962" s="165"/>
      <c r="AE962" s="165"/>
      <c r="AF962" s="165"/>
      <c r="AG962" s="165"/>
      <c r="AH962" s="165"/>
      <c r="AI962" s="165"/>
      <c r="AJ962" s="165"/>
      <c r="AK962" s="165"/>
      <c r="AL962" s="165"/>
      <c r="AM962" s="165"/>
      <c r="AN962" s="165"/>
      <c r="AO962" s="165"/>
      <c r="AP962" s="165"/>
      <c r="AQ962" s="165"/>
    </row>
    <row r="963" ht="15.75" customHeight="1">
      <c r="H963" s="440"/>
      <c r="U963" s="441"/>
      <c r="V963" s="441"/>
      <c r="W963" s="441"/>
      <c r="X963" s="441"/>
      <c r="Y963" s="442"/>
      <c r="Z963" s="165"/>
      <c r="AA963" s="165"/>
      <c r="AB963" s="165"/>
      <c r="AC963" s="165"/>
      <c r="AD963" s="165"/>
      <c r="AE963" s="165"/>
      <c r="AF963" s="165"/>
      <c r="AG963" s="165"/>
      <c r="AH963" s="165"/>
      <c r="AI963" s="165"/>
      <c r="AJ963" s="165"/>
      <c r="AK963" s="165"/>
      <c r="AL963" s="165"/>
      <c r="AM963" s="165"/>
      <c r="AN963" s="165"/>
      <c r="AO963" s="165"/>
      <c r="AP963" s="165"/>
      <c r="AQ963" s="165"/>
    </row>
    <row r="964" ht="15.75" customHeight="1">
      <c r="H964" s="440"/>
      <c r="U964" s="441"/>
      <c r="V964" s="441"/>
      <c r="W964" s="441"/>
      <c r="X964" s="441"/>
      <c r="Y964" s="442"/>
      <c r="Z964" s="165"/>
      <c r="AA964" s="165"/>
      <c r="AB964" s="165"/>
      <c r="AC964" s="165"/>
      <c r="AD964" s="165"/>
      <c r="AE964" s="165"/>
      <c r="AF964" s="165"/>
      <c r="AG964" s="165"/>
      <c r="AH964" s="165"/>
      <c r="AI964" s="165"/>
      <c r="AJ964" s="165"/>
      <c r="AK964" s="165"/>
      <c r="AL964" s="165"/>
      <c r="AM964" s="165"/>
      <c r="AN964" s="165"/>
      <c r="AO964" s="165"/>
      <c r="AP964" s="165"/>
      <c r="AQ964" s="165"/>
    </row>
    <row r="965" ht="15.75" customHeight="1">
      <c r="H965" s="440"/>
      <c r="U965" s="441"/>
      <c r="V965" s="441"/>
      <c r="W965" s="441"/>
      <c r="X965" s="441"/>
      <c r="Y965" s="442"/>
      <c r="Z965" s="165"/>
      <c r="AA965" s="165"/>
      <c r="AB965" s="165"/>
      <c r="AC965" s="165"/>
      <c r="AD965" s="165"/>
      <c r="AE965" s="165"/>
      <c r="AF965" s="165"/>
      <c r="AG965" s="165"/>
      <c r="AH965" s="165"/>
      <c r="AI965" s="165"/>
      <c r="AJ965" s="165"/>
      <c r="AK965" s="165"/>
      <c r="AL965" s="165"/>
      <c r="AM965" s="165"/>
      <c r="AN965" s="165"/>
      <c r="AO965" s="165"/>
      <c r="AP965" s="165"/>
      <c r="AQ965" s="165"/>
    </row>
    <row r="966" ht="15.75" customHeight="1">
      <c r="H966" s="440"/>
      <c r="U966" s="441"/>
      <c r="V966" s="441"/>
      <c r="W966" s="441"/>
      <c r="X966" s="441"/>
      <c r="Y966" s="442"/>
      <c r="Z966" s="165"/>
      <c r="AA966" s="165"/>
      <c r="AB966" s="165"/>
      <c r="AC966" s="165"/>
      <c r="AD966" s="165"/>
      <c r="AE966" s="165"/>
      <c r="AF966" s="165"/>
      <c r="AG966" s="165"/>
      <c r="AH966" s="165"/>
      <c r="AI966" s="165"/>
      <c r="AJ966" s="165"/>
      <c r="AK966" s="165"/>
      <c r="AL966" s="165"/>
      <c r="AM966" s="165"/>
      <c r="AN966" s="165"/>
      <c r="AO966" s="165"/>
      <c r="AP966" s="165"/>
      <c r="AQ966" s="165"/>
    </row>
    <row r="967" ht="15.75" customHeight="1">
      <c r="H967" s="440"/>
      <c r="U967" s="441"/>
      <c r="V967" s="441"/>
      <c r="W967" s="441"/>
      <c r="X967" s="441"/>
      <c r="Y967" s="442"/>
      <c r="Z967" s="165"/>
      <c r="AA967" s="165"/>
      <c r="AB967" s="165"/>
      <c r="AC967" s="165"/>
      <c r="AD967" s="165"/>
      <c r="AE967" s="165"/>
      <c r="AF967" s="165"/>
      <c r="AG967" s="165"/>
      <c r="AH967" s="165"/>
      <c r="AI967" s="165"/>
      <c r="AJ967" s="165"/>
      <c r="AK967" s="165"/>
      <c r="AL967" s="165"/>
      <c r="AM967" s="165"/>
      <c r="AN967" s="165"/>
      <c r="AO967" s="165"/>
      <c r="AP967" s="165"/>
      <c r="AQ967" s="165"/>
    </row>
    <row r="968" ht="15.75" customHeight="1">
      <c r="H968" s="440"/>
      <c r="U968" s="441"/>
      <c r="V968" s="441"/>
      <c r="W968" s="441"/>
      <c r="X968" s="441"/>
      <c r="Y968" s="442"/>
      <c r="Z968" s="165"/>
      <c r="AA968" s="165"/>
      <c r="AB968" s="165"/>
      <c r="AC968" s="165"/>
      <c r="AD968" s="165"/>
      <c r="AE968" s="165"/>
      <c r="AF968" s="165"/>
      <c r="AG968" s="165"/>
      <c r="AH968" s="165"/>
      <c r="AI968" s="165"/>
      <c r="AJ968" s="165"/>
      <c r="AK968" s="165"/>
      <c r="AL968" s="165"/>
      <c r="AM968" s="165"/>
      <c r="AN968" s="165"/>
      <c r="AO968" s="165"/>
      <c r="AP968" s="165"/>
      <c r="AQ968" s="165"/>
    </row>
    <row r="969" ht="15.75" customHeight="1">
      <c r="H969" s="440"/>
      <c r="U969" s="441"/>
      <c r="V969" s="441"/>
      <c r="W969" s="441"/>
      <c r="X969" s="441"/>
      <c r="Y969" s="442"/>
      <c r="Z969" s="165"/>
      <c r="AA969" s="165"/>
      <c r="AB969" s="165"/>
      <c r="AC969" s="165"/>
      <c r="AD969" s="165"/>
      <c r="AE969" s="165"/>
      <c r="AF969" s="165"/>
      <c r="AG969" s="165"/>
      <c r="AH969" s="165"/>
      <c r="AI969" s="165"/>
      <c r="AJ969" s="165"/>
      <c r="AK969" s="165"/>
      <c r="AL969" s="165"/>
      <c r="AM969" s="165"/>
      <c r="AN969" s="165"/>
      <c r="AO969" s="165"/>
      <c r="AP969" s="165"/>
      <c r="AQ969" s="165"/>
    </row>
    <row r="970" ht="15.75" customHeight="1">
      <c r="H970" s="440"/>
      <c r="U970" s="441"/>
      <c r="V970" s="441"/>
      <c r="W970" s="441"/>
      <c r="X970" s="441"/>
      <c r="Y970" s="442"/>
      <c r="Z970" s="165"/>
      <c r="AA970" s="165"/>
      <c r="AB970" s="165"/>
      <c r="AC970" s="165"/>
      <c r="AD970" s="165"/>
      <c r="AE970" s="165"/>
      <c r="AF970" s="165"/>
      <c r="AG970" s="165"/>
      <c r="AH970" s="165"/>
      <c r="AI970" s="165"/>
      <c r="AJ970" s="165"/>
      <c r="AK970" s="165"/>
      <c r="AL970" s="165"/>
      <c r="AM970" s="165"/>
      <c r="AN970" s="165"/>
      <c r="AO970" s="165"/>
      <c r="AP970" s="165"/>
      <c r="AQ970" s="165"/>
    </row>
    <row r="971" ht="15.75" customHeight="1">
      <c r="H971" s="440"/>
      <c r="U971" s="441"/>
      <c r="V971" s="441"/>
      <c r="W971" s="441"/>
      <c r="X971" s="441"/>
      <c r="Y971" s="442"/>
      <c r="Z971" s="165"/>
      <c r="AA971" s="165"/>
      <c r="AB971" s="165"/>
      <c r="AC971" s="165"/>
      <c r="AD971" s="165"/>
      <c r="AE971" s="165"/>
      <c r="AF971" s="165"/>
      <c r="AG971" s="165"/>
      <c r="AH971" s="165"/>
      <c r="AI971" s="165"/>
      <c r="AJ971" s="165"/>
      <c r="AK971" s="165"/>
      <c r="AL971" s="165"/>
      <c r="AM971" s="165"/>
      <c r="AN971" s="165"/>
      <c r="AO971" s="165"/>
      <c r="AP971" s="165"/>
      <c r="AQ971" s="165"/>
    </row>
    <row r="972" ht="15.75" customHeight="1">
      <c r="H972" s="440"/>
      <c r="U972" s="441"/>
      <c r="V972" s="441"/>
      <c r="W972" s="441"/>
      <c r="X972" s="441"/>
      <c r="Y972" s="442"/>
      <c r="Z972" s="165"/>
      <c r="AA972" s="165"/>
      <c r="AB972" s="165"/>
      <c r="AC972" s="165"/>
      <c r="AD972" s="165"/>
      <c r="AE972" s="165"/>
      <c r="AF972" s="165"/>
      <c r="AG972" s="165"/>
      <c r="AH972" s="165"/>
      <c r="AI972" s="165"/>
      <c r="AJ972" s="165"/>
      <c r="AK972" s="165"/>
      <c r="AL972" s="165"/>
      <c r="AM972" s="165"/>
      <c r="AN972" s="165"/>
      <c r="AO972" s="165"/>
      <c r="AP972" s="165"/>
      <c r="AQ972" s="165"/>
    </row>
    <row r="973" ht="15.75" customHeight="1">
      <c r="H973" s="440"/>
      <c r="U973" s="441"/>
      <c r="V973" s="441"/>
      <c r="W973" s="441"/>
      <c r="X973" s="441"/>
      <c r="Y973" s="442"/>
      <c r="Z973" s="165"/>
      <c r="AA973" s="165"/>
      <c r="AB973" s="165"/>
      <c r="AC973" s="165"/>
      <c r="AD973" s="165"/>
      <c r="AE973" s="165"/>
      <c r="AF973" s="165"/>
      <c r="AG973" s="165"/>
      <c r="AH973" s="165"/>
      <c r="AI973" s="165"/>
      <c r="AJ973" s="165"/>
      <c r="AK973" s="165"/>
      <c r="AL973" s="165"/>
      <c r="AM973" s="165"/>
      <c r="AN973" s="165"/>
      <c r="AO973" s="165"/>
      <c r="AP973" s="165"/>
      <c r="AQ973" s="165"/>
    </row>
    <row r="974" ht="15.75" customHeight="1">
      <c r="H974" s="440"/>
      <c r="U974" s="441"/>
      <c r="V974" s="441"/>
      <c r="W974" s="441"/>
      <c r="X974" s="441"/>
      <c r="Y974" s="442"/>
      <c r="Z974" s="165"/>
      <c r="AA974" s="165"/>
      <c r="AB974" s="165"/>
      <c r="AC974" s="165"/>
      <c r="AD974" s="165"/>
      <c r="AE974" s="165"/>
      <c r="AF974" s="165"/>
      <c r="AG974" s="165"/>
      <c r="AH974" s="165"/>
      <c r="AI974" s="165"/>
      <c r="AJ974" s="165"/>
      <c r="AK974" s="165"/>
      <c r="AL974" s="165"/>
      <c r="AM974" s="165"/>
      <c r="AN974" s="165"/>
      <c r="AO974" s="165"/>
      <c r="AP974" s="165"/>
      <c r="AQ974" s="165"/>
    </row>
    <row r="975" ht="15.75" customHeight="1">
      <c r="H975" s="440"/>
      <c r="U975" s="441"/>
      <c r="V975" s="441"/>
      <c r="W975" s="441"/>
      <c r="X975" s="441"/>
      <c r="Y975" s="442"/>
      <c r="Z975" s="165"/>
      <c r="AA975" s="165"/>
      <c r="AB975" s="165"/>
      <c r="AC975" s="165"/>
      <c r="AD975" s="165"/>
      <c r="AE975" s="165"/>
      <c r="AF975" s="165"/>
      <c r="AG975" s="165"/>
      <c r="AH975" s="165"/>
      <c r="AI975" s="165"/>
      <c r="AJ975" s="165"/>
      <c r="AK975" s="165"/>
      <c r="AL975" s="165"/>
      <c r="AM975" s="165"/>
      <c r="AN975" s="165"/>
      <c r="AO975" s="165"/>
      <c r="AP975" s="165"/>
      <c r="AQ975" s="165"/>
    </row>
    <row r="976" ht="15.75" customHeight="1">
      <c r="H976" s="440"/>
      <c r="U976" s="441"/>
      <c r="V976" s="441"/>
      <c r="W976" s="441"/>
      <c r="X976" s="441"/>
      <c r="Y976" s="442"/>
      <c r="Z976" s="165"/>
      <c r="AA976" s="165"/>
      <c r="AB976" s="165"/>
      <c r="AC976" s="165"/>
      <c r="AD976" s="165"/>
      <c r="AE976" s="165"/>
      <c r="AF976" s="165"/>
      <c r="AG976" s="165"/>
      <c r="AH976" s="165"/>
      <c r="AI976" s="165"/>
      <c r="AJ976" s="165"/>
      <c r="AK976" s="165"/>
      <c r="AL976" s="165"/>
      <c r="AM976" s="165"/>
      <c r="AN976" s="165"/>
      <c r="AO976" s="165"/>
      <c r="AP976" s="165"/>
      <c r="AQ976" s="165"/>
    </row>
    <row r="977" ht="15.75" customHeight="1">
      <c r="H977" s="440"/>
      <c r="U977" s="441"/>
      <c r="V977" s="441"/>
      <c r="W977" s="441"/>
      <c r="X977" s="441"/>
      <c r="Y977" s="442"/>
      <c r="Z977" s="165"/>
      <c r="AA977" s="165"/>
      <c r="AB977" s="165"/>
      <c r="AC977" s="165"/>
      <c r="AD977" s="165"/>
      <c r="AE977" s="165"/>
      <c r="AF977" s="165"/>
      <c r="AG977" s="165"/>
      <c r="AH977" s="165"/>
      <c r="AI977" s="165"/>
      <c r="AJ977" s="165"/>
      <c r="AK977" s="165"/>
      <c r="AL977" s="165"/>
      <c r="AM977" s="165"/>
      <c r="AN977" s="165"/>
      <c r="AO977" s="165"/>
      <c r="AP977" s="165"/>
      <c r="AQ977" s="165"/>
    </row>
    <row r="978" ht="15.75" customHeight="1">
      <c r="H978" s="440"/>
      <c r="U978" s="441"/>
      <c r="V978" s="441"/>
      <c r="W978" s="441"/>
      <c r="X978" s="441"/>
      <c r="Y978" s="442"/>
      <c r="Z978" s="165"/>
      <c r="AA978" s="165"/>
      <c r="AB978" s="165"/>
      <c r="AC978" s="165"/>
      <c r="AD978" s="165"/>
      <c r="AE978" s="165"/>
      <c r="AF978" s="165"/>
      <c r="AG978" s="165"/>
      <c r="AH978" s="165"/>
      <c r="AI978" s="165"/>
      <c r="AJ978" s="165"/>
      <c r="AK978" s="165"/>
      <c r="AL978" s="165"/>
      <c r="AM978" s="165"/>
      <c r="AN978" s="165"/>
      <c r="AO978" s="165"/>
      <c r="AP978" s="165"/>
      <c r="AQ978" s="165"/>
    </row>
    <row r="979" ht="15.75" customHeight="1">
      <c r="H979" s="440"/>
      <c r="U979" s="441"/>
      <c r="V979" s="441"/>
      <c r="W979" s="441"/>
      <c r="X979" s="441"/>
      <c r="Y979" s="442"/>
      <c r="Z979" s="165"/>
      <c r="AA979" s="165"/>
      <c r="AB979" s="165"/>
      <c r="AC979" s="165"/>
      <c r="AD979" s="165"/>
      <c r="AE979" s="165"/>
      <c r="AF979" s="165"/>
      <c r="AG979" s="165"/>
      <c r="AH979" s="165"/>
      <c r="AI979" s="165"/>
      <c r="AJ979" s="165"/>
      <c r="AK979" s="165"/>
      <c r="AL979" s="165"/>
      <c r="AM979" s="165"/>
      <c r="AN979" s="165"/>
      <c r="AO979" s="165"/>
      <c r="AP979" s="165"/>
      <c r="AQ979" s="165"/>
    </row>
    <row r="980" ht="15.75" customHeight="1">
      <c r="H980" s="440"/>
      <c r="U980" s="441"/>
      <c r="V980" s="441"/>
      <c r="W980" s="441"/>
      <c r="X980" s="441"/>
      <c r="Y980" s="442"/>
      <c r="Z980" s="165"/>
      <c r="AA980" s="165"/>
      <c r="AB980" s="165"/>
      <c r="AC980" s="165"/>
      <c r="AD980" s="165"/>
      <c r="AE980" s="165"/>
      <c r="AF980" s="165"/>
      <c r="AG980" s="165"/>
      <c r="AH980" s="165"/>
      <c r="AI980" s="165"/>
      <c r="AJ980" s="165"/>
      <c r="AK980" s="165"/>
      <c r="AL980" s="165"/>
      <c r="AM980" s="165"/>
      <c r="AN980" s="165"/>
      <c r="AO980" s="165"/>
      <c r="AP980" s="165"/>
      <c r="AQ980" s="165"/>
    </row>
    <row r="981" ht="15.75" customHeight="1">
      <c r="H981" s="440"/>
      <c r="U981" s="441"/>
      <c r="V981" s="441"/>
      <c r="W981" s="441"/>
      <c r="X981" s="441"/>
      <c r="Y981" s="442"/>
      <c r="Z981" s="165"/>
      <c r="AA981" s="165"/>
      <c r="AB981" s="165"/>
      <c r="AC981" s="165"/>
      <c r="AD981" s="165"/>
      <c r="AE981" s="165"/>
      <c r="AF981" s="165"/>
      <c r="AG981" s="165"/>
      <c r="AH981" s="165"/>
      <c r="AI981" s="165"/>
      <c r="AJ981" s="165"/>
      <c r="AK981" s="165"/>
      <c r="AL981" s="165"/>
      <c r="AM981" s="165"/>
      <c r="AN981" s="165"/>
      <c r="AO981" s="165"/>
      <c r="AP981" s="165"/>
      <c r="AQ981" s="165"/>
    </row>
    <row r="982" ht="15.75" customHeight="1">
      <c r="H982" s="440"/>
      <c r="U982" s="441"/>
      <c r="V982" s="441"/>
      <c r="W982" s="441"/>
      <c r="X982" s="441"/>
      <c r="Y982" s="442"/>
      <c r="Z982" s="165"/>
      <c r="AA982" s="165"/>
      <c r="AB982" s="165"/>
      <c r="AC982" s="165"/>
      <c r="AD982" s="165"/>
      <c r="AE982" s="165"/>
      <c r="AF982" s="165"/>
      <c r="AG982" s="165"/>
      <c r="AH982" s="165"/>
      <c r="AI982" s="165"/>
      <c r="AJ982" s="165"/>
      <c r="AK982" s="165"/>
      <c r="AL982" s="165"/>
      <c r="AM982" s="165"/>
      <c r="AN982" s="165"/>
      <c r="AO982" s="165"/>
      <c r="AP982" s="165"/>
      <c r="AQ982" s="165"/>
    </row>
    <row r="983" ht="15.75" customHeight="1">
      <c r="H983" s="440"/>
      <c r="U983" s="441"/>
      <c r="V983" s="441"/>
      <c r="W983" s="441"/>
      <c r="X983" s="441"/>
      <c r="Y983" s="442"/>
      <c r="Z983" s="165"/>
      <c r="AA983" s="165"/>
      <c r="AB983" s="165"/>
      <c r="AC983" s="165"/>
      <c r="AD983" s="165"/>
      <c r="AE983" s="165"/>
      <c r="AF983" s="165"/>
      <c r="AG983" s="165"/>
      <c r="AH983" s="165"/>
      <c r="AI983" s="165"/>
      <c r="AJ983" s="165"/>
      <c r="AK983" s="165"/>
      <c r="AL983" s="165"/>
      <c r="AM983" s="165"/>
      <c r="AN983" s="165"/>
      <c r="AO983" s="165"/>
      <c r="AP983" s="165"/>
      <c r="AQ983" s="165"/>
    </row>
    <row r="984" ht="15.75" customHeight="1">
      <c r="H984" s="440"/>
      <c r="U984" s="441"/>
      <c r="V984" s="441"/>
      <c r="W984" s="441"/>
      <c r="X984" s="441"/>
      <c r="Y984" s="442"/>
      <c r="Z984" s="165"/>
      <c r="AA984" s="165"/>
      <c r="AB984" s="165"/>
      <c r="AC984" s="165"/>
      <c r="AD984" s="165"/>
      <c r="AE984" s="165"/>
      <c r="AF984" s="165"/>
      <c r="AG984" s="165"/>
      <c r="AH984" s="165"/>
      <c r="AI984" s="165"/>
      <c r="AJ984" s="165"/>
      <c r="AK984" s="165"/>
      <c r="AL984" s="165"/>
      <c r="AM984" s="165"/>
      <c r="AN984" s="165"/>
      <c r="AO984" s="165"/>
      <c r="AP984" s="165"/>
      <c r="AQ984" s="165"/>
    </row>
    <row r="985" ht="15.75" customHeight="1">
      <c r="H985" s="440"/>
      <c r="U985" s="441"/>
      <c r="V985" s="441"/>
      <c r="W985" s="441"/>
      <c r="X985" s="441"/>
      <c r="Y985" s="442"/>
      <c r="Z985" s="165"/>
      <c r="AA985" s="165"/>
      <c r="AB985" s="165"/>
      <c r="AC985" s="165"/>
      <c r="AD985" s="165"/>
      <c r="AE985" s="165"/>
      <c r="AF985" s="165"/>
      <c r="AG985" s="165"/>
      <c r="AH985" s="165"/>
      <c r="AI985" s="165"/>
      <c r="AJ985" s="165"/>
      <c r="AK985" s="165"/>
      <c r="AL985" s="165"/>
      <c r="AM985" s="165"/>
      <c r="AN985" s="165"/>
      <c r="AO985" s="165"/>
      <c r="AP985" s="165"/>
      <c r="AQ985" s="165"/>
    </row>
    <row r="986" ht="15.75" customHeight="1">
      <c r="H986" s="440"/>
      <c r="U986" s="441"/>
      <c r="V986" s="441"/>
      <c r="W986" s="441"/>
      <c r="X986" s="441"/>
      <c r="Y986" s="442"/>
      <c r="Z986" s="165"/>
      <c r="AA986" s="165"/>
      <c r="AB986" s="165"/>
      <c r="AC986" s="165"/>
      <c r="AD986" s="165"/>
      <c r="AE986" s="165"/>
      <c r="AF986" s="165"/>
      <c r="AG986" s="165"/>
      <c r="AH986" s="165"/>
      <c r="AI986" s="165"/>
      <c r="AJ986" s="165"/>
      <c r="AK986" s="165"/>
      <c r="AL986" s="165"/>
      <c r="AM986" s="165"/>
      <c r="AN986" s="165"/>
      <c r="AO986" s="165"/>
      <c r="AP986" s="165"/>
      <c r="AQ986" s="165"/>
    </row>
    <row r="987" ht="15.75" customHeight="1">
      <c r="H987" s="440"/>
      <c r="U987" s="441"/>
      <c r="V987" s="441"/>
      <c r="W987" s="441"/>
      <c r="X987" s="441"/>
      <c r="Y987" s="442"/>
      <c r="Z987" s="165"/>
      <c r="AA987" s="165"/>
      <c r="AB987" s="165"/>
      <c r="AC987" s="165"/>
      <c r="AD987" s="165"/>
      <c r="AE987" s="165"/>
      <c r="AF987" s="165"/>
      <c r="AG987" s="165"/>
      <c r="AH987" s="165"/>
      <c r="AI987" s="165"/>
      <c r="AJ987" s="165"/>
      <c r="AK987" s="165"/>
      <c r="AL987" s="165"/>
      <c r="AM987" s="165"/>
      <c r="AN987" s="165"/>
      <c r="AO987" s="165"/>
      <c r="AP987" s="165"/>
      <c r="AQ987" s="165"/>
    </row>
    <row r="988" ht="15.75" customHeight="1">
      <c r="H988" s="440"/>
      <c r="U988" s="441"/>
      <c r="V988" s="441"/>
      <c r="W988" s="441"/>
      <c r="X988" s="441"/>
      <c r="Y988" s="442"/>
      <c r="Z988" s="165"/>
      <c r="AA988" s="165"/>
      <c r="AB988" s="165"/>
      <c r="AC988" s="165"/>
      <c r="AD988" s="165"/>
      <c r="AE988" s="165"/>
      <c r="AF988" s="165"/>
      <c r="AG988" s="165"/>
      <c r="AH988" s="165"/>
      <c r="AI988" s="165"/>
      <c r="AJ988" s="165"/>
      <c r="AK988" s="165"/>
      <c r="AL988" s="165"/>
      <c r="AM988" s="165"/>
      <c r="AN988" s="165"/>
      <c r="AO988" s="165"/>
      <c r="AP988" s="165"/>
      <c r="AQ988" s="165"/>
    </row>
    <row r="989" ht="15.75" customHeight="1">
      <c r="H989" s="440"/>
      <c r="U989" s="441"/>
      <c r="V989" s="441"/>
      <c r="W989" s="441"/>
      <c r="X989" s="441"/>
      <c r="Y989" s="442"/>
      <c r="Z989" s="165"/>
      <c r="AA989" s="165"/>
      <c r="AB989" s="165"/>
      <c r="AC989" s="165"/>
      <c r="AD989" s="165"/>
      <c r="AE989" s="165"/>
      <c r="AF989" s="165"/>
      <c r="AG989" s="165"/>
      <c r="AH989" s="165"/>
      <c r="AI989" s="165"/>
      <c r="AJ989" s="165"/>
      <c r="AK989" s="165"/>
      <c r="AL989" s="165"/>
      <c r="AM989" s="165"/>
      <c r="AN989" s="165"/>
      <c r="AO989" s="165"/>
      <c r="AP989" s="165"/>
      <c r="AQ989" s="165"/>
    </row>
    <row r="990" ht="15.75" customHeight="1">
      <c r="H990" s="440"/>
      <c r="U990" s="441"/>
      <c r="V990" s="441"/>
      <c r="W990" s="441"/>
      <c r="X990" s="441"/>
      <c r="Y990" s="442"/>
      <c r="Z990" s="165"/>
      <c r="AA990" s="165"/>
      <c r="AB990" s="165"/>
      <c r="AC990" s="165"/>
      <c r="AD990" s="165"/>
      <c r="AE990" s="165"/>
      <c r="AF990" s="165"/>
      <c r="AG990" s="165"/>
      <c r="AH990" s="165"/>
      <c r="AI990" s="165"/>
      <c r="AJ990" s="165"/>
      <c r="AK990" s="165"/>
      <c r="AL990" s="165"/>
      <c r="AM990" s="165"/>
      <c r="AN990" s="165"/>
      <c r="AO990" s="165"/>
      <c r="AP990" s="165"/>
      <c r="AQ990" s="165"/>
    </row>
    <row r="991" ht="15.75" customHeight="1">
      <c r="H991" s="440"/>
      <c r="U991" s="441"/>
      <c r="V991" s="441"/>
      <c r="W991" s="441"/>
      <c r="X991" s="441"/>
      <c r="Y991" s="442"/>
      <c r="Z991" s="165"/>
      <c r="AA991" s="165"/>
      <c r="AB991" s="165"/>
      <c r="AC991" s="165"/>
      <c r="AD991" s="165"/>
      <c r="AE991" s="165"/>
      <c r="AF991" s="165"/>
      <c r="AG991" s="165"/>
      <c r="AH991" s="165"/>
      <c r="AI991" s="165"/>
      <c r="AJ991" s="165"/>
      <c r="AK991" s="165"/>
      <c r="AL991" s="165"/>
      <c r="AM991" s="165"/>
      <c r="AN991" s="165"/>
      <c r="AO991" s="165"/>
      <c r="AP991" s="165"/>
      <c r="AQ991" s="165"/>
    </row>
    <row r="992" ht="15.75" customHeight="1">
      <c r="H992" s="440"/>
      <c r="U992" s="441"/>
      <c r="V992" s="441"/>
      <c r="W992" s="441"/>
      <c r="X992" s="441"/>
      <c r="Y992" s="442"/>
      <c r="Z992" s="165"/>
      <c r="AA992" s="165"/>
      <c r="AB992" s="165"/>
      <c r="AC992" s="165"/>
      <c r="AD992" s="165"/>
      <c r="AE992" s="165"/>
      <c r="AF992" s="165"/>
      <c r="AG992" s="165"/>
      <c r="AH992" s="165"/>
      <c r="AI992" s="165"/>
      <c r="AJ992" s="165"/>
      <c r="AK992" s="165"/>
      <c r="AL992" s="165"/>
      <c r="AM992" s="165"/>
      <c r="AN992" s="165"/>
      <c r="AO992" s="165"/>
      <c r="AP992" s="165"/>
      <c r="AQ992" s="165"/>
    </row>
    <row r="993" ht="15.75" customHeight="1">
      <c r="H993" s="440"/>
      <c r="U993" s="441"/>
      <c r="V993" s="441"/>
      <c r="W993" s="441"/>
      <c r="X993" s="441"/>
      <c r="Y993" s="442"/>
      <c r="Z993" s="165"/>
      <c r="AA993" s="165"/>
      <c r="AB993" s="165"/>
      <c r="AC993" s="165"/>
      <c r="AD993" s="165"/>
      <c r="AE993" s="165"/>
      <c r="AF993" s="165"/>
      <c r="AG993" s="165"/>
      <c r="AH993" s="165"/>
      <c r="AI993" s="165"/>
      <c r="AJ993" s="165"/>
      <c r="AK993" s="165"/>
      <c r="AL993" s="165"/>
      <c r="AM993" s="165"/>
      <c r="AN993" s="165"/>
      <c r="AO993" s="165"/>
      <c r="AP993" s="165"/>
      <c r="AQ993" s="165"/>
    </row>
    <row r="994" ht="15.75" customHeight="1">
      <c r="H994" s="440"/>
      <c r="U994" s="441"/>
      <c r="V994" s="441"/>
      <c r="W994" s="441"/>
      <c r="X994" s="441"/>
      <c r="Y994" s="442"/>
      <c r="Z994" s="165"/>
      <c r="AA994" s="165"/>
      <c r="AB994" s="165"/>
      <c r="AC994" s="165"/>
      <c r="AD994" s="165"/>
      <c r="AE994" s="165"/>
      <c r="AF994" s="165"/>
      <c r="AG994" s="165"/>
      <c r="AH994" s="165"/>
      <c r="AI994" s="165"/>
      <c r="AJ994" s="165"/>
      <c r="AK994" s="165"/>
      <c r="AL994" s="165"/>
      <c r="AM994" s="165"/>
      <c r="AN994" s="165"/>
      <c r="AO994" s="165"/>
      <c r="AP994" s="165"/>
      <c r="AQ994" s="165"/>
    </row>
    <row r="995" ht="15.75" customHeight="1">
      <c r="H995" s="440"/>
      <c r="U995" s="441"/>
      <c r="V995" s="441"/>
      <c r="W995" s="441"/>
      <c r="X995" s="441"/>
      <c r="Y995" s="442"/>
      <c r="Z995" s="165"/>
      <c r="AA995" s="165"/>
      <c r="AB995" s="165"/>
      <c r="AC995" s="165"/>
      <c r="AD995" s="165"/>
      <c r="AE995" s="165"/>
      <c r="AF995" s="165"/>
      <c r="AG995" s="165"/>
      <c r="AH995" s="165"/>
      <c r="AI995" s="165"/>
      <c r="AJ995" s="165"/>
      <c r="AK995" s="165"/>
      <c r="AL995" s="165"/>
      <c r="AM995" s="165"/>
      <c r="AN995" s="165"/>
      <c r="AO995" s="165"/>
      <c r="AP995" s="165"/>
      <c r="AQ995" s="165"/>
    </row>
    <row r="996" ht="15.75" customHeight="1">
      <c r="H996" s="440"/>
      <c r="U996" s="441"/>
      <c r="V996" s="441"/>
      <c r="W996" s="441"/>
      <c r="X996" s="441"/>
      <c r="Y996" s="442"/>
      <c r="Z996" s="165"/>
      <c r="AA996" s="165"/>
      <c r="AB996" s="165"/>
      <c r="AC996" s="165"/>
      <c r="AD996" s="165"/>
      <c r="AE996" s="165"/>
      <c r="AF996" s="165"/>
      <c r="AG996" s="165"/>
      <c r="AH996" s="165"/>
      <c r="AI996" s="165"/>
      <c r="AJ996" s="165"/>
      <c r="AK996" s="165"/>
      <c r="AL996" s="165"/>
      <c r="AM996" s="165"/>
      <c r="AN996" s="165"/>
      <c r="AO996" s="165"/>
      <c r="AP996" s="165"/>
      <c r="AQ996" s="165"/>
    </row>
    <row r="997" ht="15.75" customHeight="1">
      <c r="H997" s="440"/>
      <c r="U997" s="441"/>
      <c r="V997" s="441"/>
      <c r="W997" s="441"/>
      <c r="X997" s="441"/>
      <c r="Y997" s="442"/>
      <c r="Z997" s="165"/>
      <c r="AA997" s="165"/>
      <c r="AB997" s="165"/>
      <c r="AC997" s="165"/>
      <c r="AD997" s="165"/>
      <c r="AE997" s="165"/>
      <c r="AF997" s="165"/>
      <c r="AG997" s="165"/>
      <c r="AH997" s="165"/>
      <c r="AI997" s="165"/>
      <c r="AJ997" s="165"/>
      <c r="AK997" s="165"/>
      <c r="AL997" s="165"/>
      <c r="AM997" s="165"/>
      <c r="AN997" s="165"/>
      <c r="AO997" s="165"/>
      <c r="AP997" s="165"/>
      <c r="AQ997" s="165"/>
    </row>
    <row r="998" ht="15.75" customHeight="1">
      <c r="H998" s="440"/>
      <c r="U998" s="441"/>
      <c r="V998" s="441"/>
      <c r="W998" s="441"/>
      <c r="X998" s="441"/>
      <c r="Y998" s="442"/>
      <c r="Z998" s="165"/>
      <c r="AA998" s="165"/>
      <c r="AB998" s="165"/>
      <c r="AC998" s="165"/>
      <c r="AD998" s="165"/>
      <c r="AE998" s="165"/>
      <c r="AF998" s="165"/>
      <c r="AG998" s="165"/>
      <c r="AH998" s="165"/>
      <c r="AI998" s="165"/>
      <c r="AJ998" s="165"/>
      <c r="AK998" s="165"/>
      <c r="AL998" s="165"/>
      <c r="AM998" s="165"/>
      <c r="AN998" s="165"/>
      <c r="AO998" s="165"/>
      <c r="AP998" s="165"/>
      <c r="AQ998" s="165"/>
    </row>
    <row r="999" ht="15.75" customHeight="1">
      <c r="H999" s="440"/>
      <c r="U999" s="441"/>
      <c r="V999" s="441"/>
      <c r="W999" s="441"/>
      <c r="X999" s="441"/>
      <c r="Y999" s="442"/>
      <c r="Z999" s="165"/>
      <c r="AA999" s="165"/>
      <c r="AB999" s="165"/>
      <c r="AC999" s="165"/>
      <c r="AD999" s="165"/>
      <c r="AE999" s="165"/>
      <c r="AF999" s="165"/>
      <c r="AG999" s="165"/>
      <c r="AH999" s="165"/>
      <c r="AI999" s="165"/>
      <c r="AJ999" s="165"/>
      <c r="AK999" s="165"/>
      <c r="AL999" s="165"/>
      <c r="AM999" s="165"/>
      <c r="AN999" s="165"/>
      <c r="AO999" s="165"/>
      <c r="AP999" s="165"/>
      <c r="AQ999" s="165"/>
    </row>
    <row r="1000" ht="15.75" customHeight="1">
      <c r="H1000" s="440"/>
      <c r="U1000" s="441"/>
      <c r="V1000" s="441"/>
      <c r="W1000" s="441"/>
      <c r="X1000" s="441"/>
      <c r="Y1000" s="442"/>
      <c r="Z1000" s="165"/>
      <c r="AA1000" s="165"/>
      <c r="AB1000" s="165"/>
      <c r="AC1000" s="165"/>
      <c r="AD1000" s="165"/>
      <c r="AE1000" s="165"/>
      <c r="AF1000" s="165"/>
      <c r="AG1000" s="165"/>
      <c r="AH1000" s="165"/>
      <c r="AI1000" s="165"/>
      <c r="AJ1000" s="165"/>
      <c r="AK1000" s="165"/>
      <c r="AL1000" s="165"/>
      <c r="AM1000" s="165"/>
      <c r="AN1000" s="165"/>
      <c r="AO1000" s="165"/>
      <c r="AP1000" s="165"/>
      <c r="AQ1000" s="165"/>
    </row>
    <row r="1001" ht="15.75" customHeight="1">
      <c r="H1001" s="440"/>
      <c r="U1001" s="441"/>
      <c r="V1001" s="441"/>
      <c r="W1001" s="441"/>
      <c r="X1001" s="441"/>
      <c r="Y1001" s="442"/>
      <c r="Z1001" s="165"/>
      <c r="AA1001" s="165"/>
      <c r="AB1001" s="165"/>
      <c r="AC1001" s="165"/>
      <c r="AD1001" s="165"/>
      <c r="AE1001" s="165"/>
      <c r="AF1001" s="165"/>
      <c r="AG1001" s="165"/>
      <c r="AH1001" s="165"/>
      <c r="AI1001" s="165"/>
      <c r="AJ1001" s="165"/>
      <c r="AK1001" s="165"/>
      <c r="AL1001" s="165"/>
      <c r="AM1001" s="165"/>
      <c r="AN1001" s="165"/>
      <c r="AO1001" s="165"/>
      <c r="AP1001" s="165"/>
      <c r="AQ1001" s="165"/>
    </row>
    <row r="1002" ht="15.75" customHeight="1">
      <c r="H1002" s="440"/>
      <c r="U1002" s="441"/>
      <c r="V1002" s="441"/>
      <c r="W1002" s="441"/>
      <c r="X1002" s="441"/>
      <c r="Y1002" s="442"/>
      <c r="Z1002" s="165"/>
      <c r="AA1002" s="165"/>
      <c r="AB1002" s="165"/>
      <c r="AC1002" s="165"/>
      <c r="AD1002" s="165"/>
      <c r="AE1002" s="165"/>
      <c r="AF1002" s="165"/>
      <c r="AG1002" s="165"/>
      <c r="AH1002" s="165"/>
      <c r="AI1002" s="165"/>
      <c r="AJ1002" s="165"/>
      <c r="AK1002" s="165"/>
      <c r="AL1002" s="165"/>
      <c r="AM1002" s="165"/>
      <c r="AN1002" s="165"/>
      <c r="AO1002" s="165"/>
      <c r="AP1002" s="165"/>
      <c r="AQ1002" s="165"/>
    </row>
    <row r="1003" ht="15.75" customHeight="1">
      <c r="H1003" s="440"/>
      <c r="U1003" s="441"/>
      <c r="V1003" s="441"/>
      <c r="W1003" s="441"/>
      <c r="X1003" s="441"/>
      <c r="Y1003" s="442"/>
      <c r="Z1003" s="165"/>
      <c r="AA1003" s="165"/>
      <c r="AB1003" s="165"/>
      <c r="AC1003" s="165"/>
      <c r="AD1003" s="165"/>
      <c r="AE1003" s="165"/>
      <c r="AF1003" s="165"/>
      <c r="AG1003" s="165"/>
      <c r="AH1003" s="165"/>
      <c r="AI1003" s="165"/>
      <c r="AJ1003" s="165"/>
      <c r="AK1003" s="165"/>
      <c r="AL1003" s="165"/>
      <c r="AM1003" s="165"/>
      <c r="AN1003" s="165"/>
      <c r="AO1003" s="165"/>
      <c r="AP1003" s="165"/>
      <c r="AQ1003" s="165"/>
    </row>
    <row r="1004" ht="15.75" customHeight="1">
      <c r="H1004" s="440"/>
      <c r="U1004" s="441"/>
      <c r="V1004" s="441"/>
      <c r="W1004" s="441"/>
      <c r="X1004" s="441"/>
      <c r="Y1004" s="442"/>
      <c r="Z1004" s="165"/>
      <c r="AA1004" s="165"/>
      <c r="AB1004" s="165"/>
      <c r="AC1004" s="165"/>
      <c r="AD1004" s="165"/>
      <c r="AE1004" s="165"/>
      <c r="AF1004" s="165"/>
      <c r="AG1004" s="165"/>
      <c r="AH1004" s="165"/>
      <c r="AI1004" s="165"/>
      <c r="AJ1004" s="165"/>
      <c r="AK1004" s="165"/>
      <c r="AL1004" s="165"/>
      <c r="AM1004" s="165"/>
      <c r="AN1004" s="165"/>
      <c r="AO1004" s="165"/>
      <c r="AP1004" s="165"/>
      <c r="AQ1004" s="165"/>
    </row>
    <row r="1005" ht="15.75" customHeight="1">
      <c r="H1005" s="440"/>
      <c r="U1005" s="441"/>
      <c r="V1005" s="441"/>
      <c r="W1005" s="441"/>
      <c r="X1005" s="441"/>
      <c r="Y1005" s="442"/>
      <c r="Z1005" s="165"/>
      <c r="AA1005" s="165"/>
      <c r="AB1005" s="165"/>
      <c r="AC1005" s="165"/>
      <c r="AD1005" s="165"/>
      <c r="AE1005" s="165"/>
      <c r="AF1005" s="165"/>
      <c r="AG1005" s="165"/>
      <c r="AH1005" s="165"/>
      <c r="AI1005" s="165"/>
      <c r="AJ1005" s="165"/>
      <c r="AK1005" s="165"/>
      <c r="AL1005" s="165"/>
      <c r="AM1005" s="165"/>
      <c r="AN1005" s="165"/>
      <c r="AO1005" s="165"/>
      <c r="AP1005" s="165"/>
      <c r="AQ1005" s="165"/>
    </row>
    <row r="1006" ht="15.75" customHeight="1">
      <c r="H1006" s="440"/>
      <c r="U1006" s="441"/>
      <c r="V1006" s="441"/>
      <c r="W1006" s="441"/>
      <c r="X1006" s="441"/>
      <c r="Y1006" s="442"/>
      <c r="Z1006" s="165"/>
      <c r="AA1006" s="165"/>
      <c r="AB1006" s="165"/>
      <c r="AC1006" s="165"/>
      <c r="AD1006" s="165"/>
      <c r="AE1006" s="165"/>
      <c r="AF1006" s="165"/>
      <c r="AG1006" s="165"/>
      <c r="AH1006" s="165"/>
      <c r="AI1006" s="165"/>
      <c r="AJ1006" s="165"/>
      <c r="AK1006" s="165"/>
      <c r="AL1006" s="165"/>
      <c r="AM1006" s="165"/>
      <c r="AN1006" s="165"/>
      <c r="AO1006" s="165"/>
      <c r="AP1006" s="165"/>
      <c r="AQ1006" s="165"/>
    </row>
    <row r="1007" ht="15.75" customHeight="1">
      <c r="H1007" s="440"/>
      <c r="U1007" s="441"/>
      <c r="V1007" s="441"/>
      <c r="W1007" s="441"/>
      <c r="X1007" s="441"/>
      <c r="Y1007" s="442"/>
      <c r="Z1007" s="165"/>
      <c r="AA1007" s="165"/>
      <c r="AB1007" s="165"/>
      <c r="AC1007" s="165"/>
      <c r="AD1007" s="165"/>
      <c r="AE1007" s="165"/>
      <c r="AF1007" s="165"/>
      <c r="AG1007" s="165"/>
      <c r="AH1007" s="165"/>
      <c r="AI1007" s="165"/>
      <c r="AJ1007" s="165"/>
      <c r="AK1007" s="165"/>
      <c r="AL1007" s="165"/>
      <c r="AM1007" s="165"/>
      <c r="AN1007" s="165"/>
      <c r="AO1007" s="165"/>
      <c r="AP1007" s="165"/>
      <c r="AQ1007" s="165"/>
    </row>
    <row r="1008" ht="15.75" customHeight="1">
      <c r="H1008" s="440"/>
      <c r="U1008" s="441"/>
      <c r="V1008" s="441"/>
      <c r="W1008" s="441"/>
      <c r="X1008" s="441"/>
      <c r="Y1008" s="442"/>
      <c r="Z1008" s="165"/>
      <c r="AA1008" s="165"/>
      <c r="AB1008" s="165"/>
      <c r="AC1008" s="165"/>
      <c r="AD1008" s="165"/>
      <c r="AE1008" s="165"/>
      <c r="AF1008" s="165"/>
      <c r="AG1008" s="165"/>
      <c r="AH1008" s="165"/>
      <c r="AI1008" s="165"/>
      <c r="AJ1008" s="165"/>
      <c r="AK1008" s="165"/>
      <c r="AL1008" s="165"/>
      <c r="AM1008" s="165"/>
      <c r="AN1008" s="165"/>
      <c r="AO1008" s="165"/>
      <c r="AP1008" s="165"/>
      <c r="AQ1008" s="165"/>
    </row>
    <row r="1009" ht="15.75" customHeight="1">
      <c r="H1009" s="440"/>
      <c r="U1009" s="441"/>
      <c r="V1009" s="441"/>
      <c r="W1009" s="441"/>
      <c r="X1009" s="441"/>
      <c r="Y1009" s="442"/>
      <c r="Z1009" s="165"/>
      <c r="AA1009" s="165"/>
      <c r="AB1009" s="165"/>
      <c r="AC1009" s="165"/>
      <c r="AD1009" s="165"/>
      <c r="AE1009" s="165"/>
      <c r="AF1009" s="165"/>
      <c r="AG1009" s="165"/>
      <c r="AH1009" s="165"/>
      <c r="AI1009" s="165"/>
      <c r="AJ1009" s="165"/>
      <c r="AK1009" s="165"/>
      <c r="AL1009" s="165"/>
      <c r="AM1009" s="165"/>
      <c r="AN1009" s="165"/>
      <c r="AO1009" s="165"/>
      <c r="AP1009" s="165"/>
      <c r="AQ1009" s="165"/>
    </row>
    <row r="1010" ht="15.75" customHeight="1">
      <c r="H1010" s="440"/>
      <c r="U1010" s="441"/>
      <c r="V1010" s="441"/>
      <c r="W1010" s="441"/>
      <c r="X1010" s="441"/>
      <c r="Y1010" s="442"/>
      <c r="Z1010" s="165"/>
      <c r="AA1010" s="165"/>
      <c r="AB1010" s="165"/>
      <c r="AC1010" s="165"/>
      <c r="AD1010" s="165"/>
      <c r="AE1010" s="165"/>
      <c r="AF1010" s="165"/>
      <c r="AG1010" s="165"/>
      <c r="AH1010" s="165"/>
      <c r="AI1010" s="165"/>
      <c r="AJ1010" s="165"/>
      <c r="AK1010" s="165"/>
      <c r="AL1010" s="165"/>
      <c r="AM1010" s="165"/>
      <c r="AN1010" s="165"/>
      <c r="AO1010" s="165"/>
      <c r="AP1010" s="165"/>
      <c r="AQ1010" s="165"/>
    </row>
    <row r="1011" ht="15.75" customHeight="1">
      <c r="H1011" s="440"/>
      <c r="U1011" s="441"/>
      <c r="V1011" s="441"/>
      <c r="W1011" s="441"/>
      <c r="X1011" s="441"/>
      <c r="Y1011" s="442"/>
      <c r="Z1011" s="165"/>
      <c r="AA1011" s="165"/>
      <c r="AB1011" s="165"/>
      <c r="AC1011" s="165"/>
      <c r="AD1011" s="165"/>
      <c r="AE1011" s="165"/>
      <c r="AF1011" s="165"/>
      <c r="AG1011" s="165"/>
      <c r="AH1011" s="165"/>
      <c r="AI1011" s="165"/>
      <c r="AJ1011" s="165"/>
      <c r="AK1011" s="165"/>
      <c r="AL1011" s="165"/>
      <c r="AM1011" s="165"/>
      <c r="AN1011" s="165"/>
      <c r="AO1011" s="165"/>
      <c r="AP1011" s="165"/>
      <c r="AQ1011" s="165"/>
    </row>
    <row r="1012" ht="15.75" customHeight="1">
      <c r="H1012" s="440"/>
      <c r="U1012" s="441"/>
      <c r="V1012" s="441"/>
      <c r="W1012" s="441"/>
      <c r="X1012" s="441"/>
      <c r="Y1012" s="442"/>
      <c r="Z1012" s="165"/>
      <c r="AA1012" s="165"/>
      <c r="AB1012" s="165"/>
      <c r="AC1012" s="165"/>
      <c r="AD1012" s="165"/>
      <c r="AE1012" s="165"/>
      <c r="AF1012" s="165"/>
      <c r="AG1012" s="165"/>
      <c r="AH1012" s="165"/>
      <c r="AI1012" s="165"/>
      <c r="AJ1012" s="165"/>
      <c r="AK1012" s="165"/>
      <c r="AL1012" s="165"/>
      <c r="AM1012" s="165"/>
      <c r="AN1012" s="165"/>
      <c r="AO1012" s="165"/>
      <c r="AP1012" s="165"/>
      <c r="AQ1012" s="165"/>
    </row>
    <row r="1013" ht="15.75" customHeight="1">
      <c r="H1013" s="440"/>
      <c r="U1013" s="441"/>
      <c r="V1013" s="441"/>
      <c r="W1013" s="441"/>
      <c r="X1013" s="441"/>
      <c r="Y1013" s="442"/>
      <c r="Z1013" s="165"/>
      <c r="AA1013" s="165"/>
      <c r="AB1013" s="165"/>
      <c r="AC1013" s="165"/>
      <c r="AD1013" s="165"/>
      <c r="AE1013" s="165"/>
      <c r="AF1013" s="165"/>
      <c r="AG1013" s="165"/>
      <c r="AH1013" s="165"/>
      <c r="AI1013" s="165"/>
      <c r="AJ1013" s="165"/>
      <c r="AK1013" s="165"/>
      <c r="AL1013" s="165"/>
      <c r="AM1013" s="165"/>
      <c r="AN1013" s="165"/>
      <c r="AO1013" s="165"/>
      <c r="AP1013" s="165"/>
      <c r="AQ1013" s="165"/>
    </row>
    <row r="1014" ht="15.75" customHeight="1">
      <c r="H1014" s="440"/>
      <c r="U1014" s="441"/>
      <c r="V1014" s="441"/>
      <c r="W1014" s="441"/>
      <c r="X1014" s="441"/>
      <c r="Y1014" s="442"/>
      <c r="Z1014" s="165"/>
      <c r="AA1014" s="165"/>
      <c r="AB1014" s="165"/>
      <c r="AC1014" s="165"/>
      <c r="AD1014" s="165"/>
      <c r="AE1014" s="165"/>
      <c r="AF1014" s="165"/>
      <c r="AG1014" s="165"/>
      <c r="AH1014" s="165"/>
      <c r="AI1014" s="165"/>
      <c r="AJ1014" s="165"/>
      <c r="AK1014" s="165"/>
      <c r="AL1014" s="165"/>
      <c r="AM1014" s="165"/>
      <c r="AN1014" s="165"/>
      <c r="AO1014" s="165"/>
      <c r="AP1014" s="165"/>
      <c r="AQ1014" s="165"/>
    </row>
    <row r="1015" ht="15.75" customHeight="1">
      <c r="H1015" s="440"/>
      <c r="U1015" s="441"/>
      <c r="V1015" s="441"/>
      <c r="W1015" s="441"/>
      <c r="X1015" s="441"/>
      <c r="Y1015" s="442"/>
      <c r="Z1015" s="165"/>
      <c r="AA1015" s="165"/>
      <c r="AB1015" s="165"/>
      <c r="AC1015" s="165"/>
      <c r="AD1015" s="165"/>
      <c r="AE1015" s="165"/>
      <c r="AF1015" s="165"/>
      <c r="AG1015" s="165"/>
      <c r="AH1015" s="165"/>
      <c r="AI1015" s="165"/>
      <c r="AJ1015" s="165"/>
      <c r="AK1015" s="165"/>
      <c r="AL1015" s="165"/>
      <c r="AM1015" s="165"/>
      <c r="AN1015" s="165"/>
      <c r="AO1015" s="165"/>
      <c r="AP1015" s="165"/>
      <c r="AQ1015" s="165"/>
    </row>
    <row r="1016" ht="15.75" customHeight="1">
      <c r="H1016" s="440"/>
      <c r="U1016" s="441"/>
      <c r="V1016" s="441"/>
      <c r="W1016" s="441"/>
      <c r="X1016" s="441"/>
      <c r="Y1016" s="442"/>
      <c r="Z1016" s="165"/>
      <c r="AA1016" s="165"/>
      <c r="AB1016" s="165"/>
      <c r="AC1016" s="165"/>
      <c r="AD1016" s="165"/>
      <c r="AE1016" s="165"/>
      <c r="AF1016" s="165"/>
      <c r="AG1016" s="165"/>
      <c r="AH1016" s="165"/>
      <c r="AI1016" s="165"/>
      <c r="AJ1016" s="165"/>
      <c r="AK1016" s="165"/>
      <c r="AL1016" s="165"/>
      <c r="AM1016" s="165"/>
      <c r="AN1016" s="165"/>
      <c r="AO1016" s="165"/>
      <c r="AP1016" s="165"/>
      <c r="AQ1016" s="165"/>
    </row>
    <row r="1017" ht="15.75" customHeight="1">
      <c r="H1017" s="440"/>
      <c r="U1017" s="441"/>
      <c r="V1017" s="441"/>
      <c r="W1017" s="441"/>
      <c r="X1017" s="441"/>
      <c r="Y1017" s="442"/>
      <c r="Z1017" s="165"/>
      <c r="AA1017" s="165"/>
      <c r="AB1017" s="165"/>
      <c r="AC1017" s="165"/>
      <c r="AD1017" s="165"/>
      <c r="AE1017" s="165"/>
      <c r="AF1017" s="165"/>
      <c r="AG1017" s="165"/>
      <c r="AH1017" s="165"/>
      <c r="AI1017" s="165"/>
      <c r="AJ1017" s="165"/>
      <c r="AK1017" s="165"/>
      <c r="AL1017" s="165"/>
      <c r="AM1017" s="165"/>
      <c r="AN1017" s="165"/>
      <c r="AO1017" s="165"/>
      <c r="AP1017" s="165"/>
      <c r="AQ1017" s="165"/>
    </row>
    <row r="1018" ht="15.75" customHeight="1">
      <c r="H1018" s="440"/>
      <c r="U1018" s="441"/>
      <c r="V1018" s="441"/>
      <c r="W1018" s="441"/>
      <c r="X1018" s="441"/>
      <c r="Y1018" s="442"/>
      <c r="Z1018" s="165"/>
      <c r="AA1018" s="165"/>
      <c r="AB1018" s="165"/>
      <c r="AC1018" s="165"/>
      <c r="AD1018" s="165"/>
      <c r="AE1018" s="165"/>
      <c r="AF1018" s="165"/>
      <c r="AG1018" s="165"/>
      <c r="AH1018" s="165"/>
      <c r="AI1018" s="165"/>
      <c r="AJ1018" s="165"/>
      <c r="AK1018" s="165"/>
      <c r="AL1018" s="165"/>
      <c r="AM1018" s="165"/>
      <c r="AN1018" s="165"/>
      <c r="AO1018" s="165"/>
      <c r="AP1018" s="165"/>
      <c r="AQ1018" s="165"/>
    </row>
    <row r="1019" ht="15.75" customHeight="1">
      <c r="H1019" s="440"/>
      <c r="U1019" s="441"/>
      <c r="V1019" s="441"/>
      <c r="W1019" s="441"/>
      <c r="X1019" s="441"/>
      <c r="Y1019" s="442"/>
      <c r="Z1019" s="165"/>
      <c r="AA1019" s="165"/>
      <c r="AB1019" s="165"/>
      <c r="AC1019" s="165"/>
      <c r="AD1019" s="165"/>
      <c r="AE1019" s="165"/>
      <c r="AF1019" s="165"/>
      <c r="AG1019" s="165"/>
      <c r="AH1019" s="165"/>
      <c r="AI1019" s="165"/>
      <c r="AJ1019" s="165"/>
      <c r="AK1019" s="165"/>
      <c r="AL1019" s="165"/>
      <c r="AM1019" s="165"/>
      <c r="AN1019" s="165"/>
      <c r="AO1019" s="165"/>
      <c r="AP1019" s="165"/>
      <c r="AQ1019" s="165"/>
    </row>
    <row r="1020" ht="15.75" customHeight="1">
      <c r="H1020" s="440"/>
      <c r="U1020" s="441"/>
      <c r="V1020" s="441"/>
      <c r="W1020" s="441"/>
      <c r="X1020" s="441"/>
      <c r="Y1020" s="442"/>
      <c r="Z1020" s="165"/>
      <c r="AA1020" s="165"/>
      <c r="AB1020" s="165"/>
      <c r="AC1020" s="165"/>
      <c r="AD1020" s="165"/>
      <c r="AE1020" s="165"/>
      <c r="AF1020" s="165"/>
      <c r="AG1020" s="165"/>
      <c r="AH1020" s="165"/>
      <c r="AI1020" s="165"/>
      <c r="AJ1020" s="165"/>
      <c r="AK1020" s="165"/>
      <c r="AL1020" s="165"/>
      <c r="AM1020" s="165"/>
      <c r="AN1020" s="165"/>
      <c r="AO1020" s="165"/>
      <c r="AP1020" s="165"/>
      <c r="AQ1020" s="165"/>
    </row>
    <row r="1021" ht="15.75" customHeight="1">
      <c r="H1021" s="440"/>
      <c r="U1021" s="441"/>
      <c r="V1021" s="441"/>
      <c r="W1021" s="441"/>
      <c r="X1021" s="441"/>
      <c r="Y1021" s="442"/>
      <c r="Z1021" s="165"/>
      <c r="AA1021" s="165"/>
      <c r="AB1021" s="165"/>
      <c r="AC1021" s="165"/>
      <c r="AD1021" s="165"/>
      <c r="AE1021" s="165"/>
      <c r="AF1021" s="165"/>
      <c r="AG1021" s="165"/>
      <c r="AH1021" s="165"/>
      <c r="AI1021" s="165"/>
      <c r="AJ1021" s="165"/>
      <c r="AK1021" s="165"/>
      <c r="AL1021" s="165"/>
      <c r="AM1021" s="165"/>
      <c r="AN1021" s="165"/>
      <c r="AO1021" s="165"/>
      <c r="AP1021" s="165"/>
      <c r="AQ1021" s="165"/>
    </row>
    <row r="1022" ht="15.75" customHeight="1">
      <c r="H1022" s="440"/>
      <c r="U1022" s="441"/>
      <c r="V1022" s="441"/>
      <c r="W1022" s="441"/>
      <c r="X1022" s="441"/>
      <c r="Y1022" s="442"/>
      <c r="Z1022" s="165"/>
      <c r="AA1022" s="165"/>
      <c r="AB1022" s="165"/>
      <c r="AC1022" s="165"/>
      <c r="AD1022" s="165"/>
      <c r="AE1022" s="165"/>
      <c r="AF1022" s="165"/>
      <c r="AG1022" s="165"/>
      <c r="AH1022" s="165"/>
      <c r="AI1022" s="165"/>
      <c r="AJ1022" s="165"/>
      <c r="AK1022" s="165"/>
      <c r="AL1022" s="165"/>
      <c r="AM1022" s="165"/>
      <c r="AN1022" s="165"/>
      <c r="AO1022" s="165"/>
      <c r="AP1022" s="165"/>
      <c r="AQ1022" s="165"/>
    </row>
    <row r="1023" ht="15.75" customHeight="1">
      <c r="H1023" s="440"/>
      <c r="U1023" s="441"/>
      <c r="V1023" s="441"/>
      <c r="W1023" s="441"/>
      <c r="X1023" s="441"/>
      <c r="Y1023" s="442"/>
      <c r="Z1023" s="165"/>
      <c r="AA1023" s="165"/>
      <c r="AB1023" s="165"/>
      <c r="AC1023" s="165"/>
      <c r="AD1023" s="165"/>
      <c r="AE1023" s="165"/>
      <c r="AF1023" s="165"/>
      <c r="AG1023" s="165"/>
      <c r="AH1023" s="165"/>
      <c r="AI1023" s="165"/>
      <c r="AJ1023" s="165"/>
      <c r="AK1023" s="165"/>
      <c r="AL1023" s="165"/>
      <c r="AM1023" s="165"/>
      <c r="AN1023" s="165"/>
      <c r="AO1023" s="165"/>
      <c r="AP1023" s="165"/>
      <c r="AQ1023" s="165"/>
    </row>
    <row r="1024" ht="15.75" customHeight="1">
      <c r="H1024" s="440"/>
      <c r="U1024" s="441"/>
      <c r="V1024" s="441"/>
      <c r="W1024" s="441"/>
      <c r="X1024" s="441"/>
      <c r="Y1024" s="442"/>
      <c r="Z1024" s="165"/>
      <c r="AA1024" s="165"/>
      <c r="AB1024" s="165"/>
      <c r="AC1024" s="165"/>
      <c r="AD1024" s="165"/>
      <c r="AE1024" s="165"/>
      <c r="AF1024" s="165"/>
      <c r="AG1024" s="165"/>
      <c r="AH1024" s="165"/>
      <c r="AI1024" s="165"/>
      <c r="AJ1024" s="165"/>
      <c r="AK1024" s="165"/>
      <c r="AL1024" s="165"/>
      <c r="AM1024" s="165"/>
      <c r="AN1024" s="165"/>
      <c r="AO1024" s="165"/>
      <c r="AP1024" s="165"/>
      <c r="AQ1024" s="165"/>
    </row>
    <row r="1025" ht="15.75" customHeight="1">
      <c r="H1025" s="440"/>
      <c r="U1025" s="441"/>
      <c r="V1025" s="441"/>
      <c r="W1025" s="441"/>
      <c r="X1025" s="441"/>
      <c r="Y1025" s="442"/>
      <c r="Z1025" s="165"/>
      <c r="AA1025" s="165"/>
      <c r="AB1025" s="165"/>
      <c r="AC1025" s="165"/>
      <c r="AD1025" s="165"/>
      <c r="AE1025" s="165"/>
      <c r="AF1025" s="165"/>
      <c r="AG1025" s="165"/>
      <c r="AH1025" s="165"/>
      <c r="AI1025" s="165"/>
      <c r="AJ1025" s="165"/>
      <c r="AK1025" s="165"/>
      <c r="AL1025" s="165"/>
      <c r="AM1025" s="165"/>
      <c r="AN1025" s="165"/>
      <c r="AO1025" s="165"/>
      <c r="AP1025" s="165"/>
      <c r="AQ1025" s="165"/>
    </row>
    <row r="1026" ht="15.75" customHeight="1">
      <c r="H1026" s="440"/>
      <c r="U1026" s="441"/>
      <c r="V1026" s="441"/>
      <c r="W1026" s="441"/>
      <c r="X1026" s="441"/>
      <c r="Y1026" s="442"/>
      <c r="Z1026" s="165"/>
      <c r="AA1026" s="165"/>
      <c r="AB1026" s="165"/>
      <c r="AC1026" s="165"/>
      <c r="AD1026" s="165"/>
      <c r="AE1026" s="165"/>
      <c r="AF1026" s="165"/>
      <c r="AG1026" s="165"/>
      <c r="AH1026" s="165"/>
      <c r="AI1026" s="165"/>
      <c r="AJ1026" s="165"/>
      <c r="AK1026" s="165"/>
      <c r="AL1026" s="165"/>
      <c r="AM1026" s="165"/>
      <c r="AN1026" s="165"/>
      <c r="AO1026" s="165"/>
      <c r="AP1026" s="165"/>
      <c r="AQ1026" s="165"/>
    </row>
    <row r="1027" ht="15.75" customHeight="1">
      <c r="H1027" s="440"/>
      <c r="U1027" s="441"/>
      <c r="V1027" s="441"/>
      <c r="W1027" s="441"/>
      <c r="X1027" s="441"/>
      <c r="Y1027" s="442"/>
      <c r="Z1027" s="165"/>
      <c r="AA1027" s="165"/>
      <c r="AB1027" s="165"/>
      <c r="AC1027" s="165"/>
      <c r="AD1027" s="165"/>
      <c r="AE1027" s="165"/>
      <c r="AF1027" s="165"/>
      <c r="AG1027" s="165"/>
      <c r="AH1027" s="165"/>
      <c r="AI1027" s="165"/>
      <c r="AJ1027" s="165"/>
      <c r="AK1027" s="165"/>
      <c r="AL1027" s="165"/>
      <c r="AM1027" s="165"/>
      <c r="AN1027" s="165"/>
      <c r="AO1027" s="165"/>
      <c r="AP1027" s="165"/>
      <c r="AQ1027" s="165"/>
    </row>
    <row r="1028" ht="15.75" customHeight="1">
      <c r="H1028" s="440"/>
      <c r="U1028" s="441"/>
      <c r="V1028" s="441"/>
      <c r="W1028" s="441"/>
      <c r="X1028" s="441"/>
      <c r="Y1028" s="442"/>
      <c r="Z1028" s="165"/>
      <c r="AA1028" s="165"/>
      <c r="AB1028" s="165"/>
      <c r="AC1028" s="165"/>
      <c r="AD1028" s="165"/>
      <c r="AE1028" s="165"/>
      <c r="AF1028" s="165"/>
      <c r="AG1028" s="165"/>
      <c r="AH1028" s="165"/>
      <c r="AI1028" s="165"/>
      <c r="AJ1028" s="165"/>
      <c r="AK1028" s="165"/>
      <c r="AL1028" s="165"/>
      <c r="AM1028" s="165"/>
      <c r="AN1028" s="165"/>
      <c r="AO1028" s="165"/>
      <c r="AP1028" s="165"/>
      <c r="AQ1028" s="165"/>
    </row>
    <row r="1029" ht="15.75" customHeight="1">
      <c r="H1029" s="440"/>
      <c r="U1029" s="441"/>
      <c r="V1029" s="441"/>
      <c r="W1029" s="441"/>
      <c r="X1029" s="441"/>
      <c r="Y1029" s="442"/>
      <c r="Z1029" s="165"/>
      <c r="AA1029" s="165"/>
      <c r="AB1029" s="165"/>
      <c r="AC1029" s="165"/>
      <c r="AD1029" s="165"/>
      <c r="AE1029" s="165"/>
      <c r="AF1029" s="165"/>
      <c r="AG1029" s="165"/>
      <c r="AH1029" s="165"/>
      <c r="AI1029" s="165"/>
      <c r="AJ1029" s="165"/>
      <c r="AK1029" s="165"/>
      <c r="AL1029" s="165"/>
      <c r="AM1029" s="165"/>
      <c r="AN1029" s="165"/>
      <c r="AO1029" s="165"/>
      <c r="AP1029" s="165"/>
      <c r="AQ1029" s="165"/>
    </row>
    <row r="1030" ht="15.75" customHeight="1">
      <c r="H1030" s="440"/>
      <c r="U1030" s="441"/>
      <c r="V1030" s="441"/>
      <c r="W1030" s="441"/>
      <c r="X1030" s="441"/>
      <c r="Y1030" s="442"/>
      <c r="Z1030" s="165"/>
      <c r="AA1030" s="165"/>
      <c r="AB1030" s="165"/>
      <c r="AC1030" s="165"/>
      <c r="AD1030" s="165"/>
      <c r="AE1030" s="165"/>
      <c r="AF1030" s="165"/>
      <c r="AG1030" s="165"/>
      <c r="AH1030" s="165"/>
      <c r="AI1030" s="165"/>
      <c r="AJ1030" s="165"/>
      <c r="AK1030" s="165"/>
      <c r="AL1030" s="165"/>
      <c r="AM1030" s="165"/>
      <c r="AN1030" s="165"/>
      <c r="AO1030" s="165"/>
      <c r="AP1030" s="165"/>
      <c r="AQ1030" s="165"/>
    </row>
    <row r="1031" ht="15.75" customHeight="1">
      <c r="H1031" s="440"/>
      <c r="U1031" s="441"/>
      <c r="V1031" s="441"/>
      <c r="W1031" s="441"/>
      <c r="X1031" s="441"/>
      <c r="Y1031" s="442"/>
      <c r="Z1031" s="165"/>
      <c r="AA1031" s="165"/>
      <c r="AB1031" s="165"/>
      <c r="AC1031" s="165"/>
      <c r="AD1031" s="165"/>
      <c r="AE1031" s="165"/>
      <c r="AF1031" s="165"/>
      <c r="AG1031" s="165"/>
      <c r="AH1031" s="165"/>
      <c r="AI1031" s="165"/>
      <c r="AJ1031" s="165"/>
      <c r="AK1031" s="165"/>
      <c r="AL1031" s="165"/>
      <c r="AM1031" s="165"/>
      <c r="AN1031" s="165"/>
      <c r="AO1031" s="165"/>
      <c r="AP1031" s="165"/>
      <c r="AQ1031" s="165"/>
    </row>
    <row r="1032" ht="15.75" customHeight="1">
      <c r="H1032" s="440"/>
      <c r="U1032" s="441"/>
      <c r="V1032" s="441"/>
      <c r="W1032" s="441"/>
      <c r="X1032" s="441"/>
      <c r="Y1032" s="442"/>
      <c r="Z1032" s="165"/>
      <c r="AA1032" s="165"/>
      <c r="AB1032" s="165"/>
      <c r="AC1032" s="165"/>
      <c r="AD1032" s="165"/>
      <c r="AE1032" s="165"/>
      <c r="AF1032" s="165"/>
      <c r="AG1032" s="165"/>
      <c r="AH1032" s="165"/>
      <c r="AI1032" s="165"/>
      <c r="AJ1032" s="165"/>
      <c r="AK1032" s="165"/>
      <c r="AL1032" s="165"/>
      <c r="AM1032" s="165"/>
      <c r="AN1032" s="165"/>
      <c r="AO1032" s="165"/>
      <c r="AP1032" s="165"/>
      <c r="AQ1032" s="165"/>
    </row>
    <row r="1033" ht="15.75" customHeight="1">
      <c r="H1033" s="440"/>
      <c r="U1033" s="441"/>
      <c r="V1033" s="441"/>
      <c r="W1033" s="441"/>
      <c r="X1033" s="441"/>
      <c r="Y1033" s="442"/>
      <c r="Z1033" s="165"/>
      <c r="AA1033" s="165"/>
      <c r="AB1033" s="165"/>
      <c r="AC1033" s="165"/>
      <c r="AD1033" s="165"/>
      <c r="AE1033" s="165"/>
      <c r="AF1033" s="165"/>
      <c r="AG1033" s="165"/>
      <c r="AH1033" s="165"/>
      <c r="AI1033" s="165"/>
      <c r="AJ1033" s="165"/>
      <c r="AK1033" s="165"/>
      <c r="AL1033" s="165"/>
      <c r="AM1033" s="165"/>
      <c r="AN1033" s="165"/>
      <c r="AO1033" s="165"/>
      <c r="AP1033" s="165"/>
      <c r="AQ1033" s="165"/>
    </row>
    <row r="1034" ht="15.75" customHeight="1">
      <c r="H1034" s="440"/>
      <c r="U1034" s="441"/>
      <c r="V1034" s="441"/>
      <c r="W1034" s="441"/>
      <c r="X1034" s="441"/>
      <c r="Y1034" s="442"/>
      <c r="Z1034" s="165"/>
      <c r="AA1034" s="165"/>
      <c r="AB1034" s="165"/>
      <c r="AC1034" s="165"/>
      <c r="AD1034" s="165"/>
      <c r="AE1034" s="165"/>
      <c r="AF1034" s="165"/>
      <c r="AG1034" s="165"/>
      <c r="AH1034" s="165"/>
      <c r="AI1034" s="165"/>
      <c r="AJ1034" s="165"/>
      <c r="AK1034" s="165"/>
      <c r="AL1034" s="165"/>
      <c r="AM1034" s="165"/>
      <c r="AN1034" s="165"/>
      <c r="AO1034" s="165"/>
      <c r="AP1034" s="165"/>
      <c r="AQ1034" s="165"/>
    </row>
    <row r="1035" ht="15.75" customHeight="1">
      <c r="H1035" s="440"/>
      <c r="U1035" s="441"/>
      <c r="V1035" s="441"/>
      <c r="W1035" s="441"/>
      <c r="X1035" s="441"/>
      <c r="Y1035" s="442"/>
      <c r="Z1035" s="165"/>
      <c r="AA1035" s="165"/>
      <c r="AB1035" s="165"/>
      <c r="AC1035" s="165"/>
      <c r="AD1035" s="165"/>
      <c r="AE1035" s="165"/>
      <c r="AF1035" s="165"/>
      <c r="AG1035" s="165"/>
      <c r="AH1035" s="165"/>
      <c r="AI1035" s="165"/>
      <c r="AJ1035" s="165"/>
      <c r="AK1035" s="165"/>
      <c r="AL1035" s="165"/>
      <c r="AM1035" s="165"/>
      <c r="AN1035" s="165"/>
      <c r="AO1035" s="165"/>
      <c r="AP1035" s="165"/>
      <c r="AQ1035" s="165"/>
    </row>
    <row r="1036" ht="15.75" customHeight="1">
      <c r="H1036" s="440"/>
      <c r="U1036" s="441"/>
      <c r="V1036" s="441"/>
      <c r="W1036" s="441"/>
      <c r="X1036" s="441"/>
      <c r="Y1036" s="442"/>
      <c r="Z1036" s="165"/>
      <c r="AA1036" s="165"/>
      <c r="AB1036" s="165"/>
      <c r="AC1036" s="165"/>
      <c r="AD1036" s="165"/>
      <c r="AE1036" s="165"/>
      <c r="AF1036" s="165"/>
      <c r="AG1036" s="165"/>
      <c r="AH1036" s="165"/>
      <c r="AI1036" s="165"/>
      <c r="AJ1036" s="165"/>
      <c r="AK1036" s="165"/>
      <c r="AL1036" s="165"/>
      <c r="AM1036" s="165"/>
      <c r="AN1036" s="165"/>
      <c r="AO1036" s="165"/>
      <c r="AP1036" s="165"/>
      <c r="AQ1036" s="165"/>
    </row>
    <row r="1037" ht="15.75" customHeight="1">
      <c r="H1037" s="440"/>
      <c r="U1037" s="441"/>
      <c r="V1037" s="441"/>
      <c r="W1037" s="441"/>
      <c r="X1037" s="441"/>
      <c r="Y1037" s="442"/>
      <c r="Z1037" s="165"/>
      <c r="AA1037" s="165"/>
      <c r="AB1037" s="165"/>
      <c r="AC1037" s="165"/>
      <c r="AD1037" s="165"/>
      <c r="AE1037" s="165"/>
      <c r="AF1037" s="165"/>
      <c r="AG1037" s="165"/>
      <c r="AH1037" s="165"/>
      <c r="AI1037" s="165"/>
      <c r="AJ1037" s="165"/>
      <c r="AK1037" s="165"/>
      <c r="AL1037" s="165"/>
      <c r="AM1037" s="165"/>
      <c r="AN1037" s="165"/>
      <c r="AO1037" s="165"/>
      <c r="AP1037" s="165"/>
      <c r="AQ1037" s="165"/>
    </row>
    <row r="1038" ht="15.75" customHeight="1">
      <c r="H1038" s="440"/>
      <c r="U1038" s="441"/>
      <c r="V1038" s="441"/>
      <c r="W1038" s="441"/>
      <c r="X1038" s="441"/>
      <c r="Y1038" s="442"/>
      <c r="Z1038" s="165"/>
      <c r="AA1038" s="165"/>
      <c r="AB1038" s="165"/>
      <c r="AC1038" s="165"/>
      <c r="AD1038" s="165"/>
      <c r="AE1038" s="165"/>
      <c r="AF1038" s="165"/>
      <c r="AG1038" s="165"/>
      <c r="AH1038" s="165"/>
      <c r="AI1038" s="165"/>
      <c r="AJ1038" s="165"/>
      <c r="AK1038" s="165"/>
      <c r="AL1038" s="165"/>
      <c r="AM1038" s="165"/>
      <c r="AN1038" s="165"/>
      <c r="AO1038" s="165"/>
      <c r="AP1038" s="165"/>
      <c r="AQ1038" s="165"/>
    </row>
    <row r="1039" ht="15.75" customHeight="1">
      <c r="H1039" s="440"/>
      <c r="U1039" s="441"/>
      <c r="V1039" s="441"/>
      <c r="W1039" s="441"/>
      <c r="X1039" s="441"/>
      <c r="Y1039" s="442"/>
      <c r="Z1039" s="165"/>
      <c r="AA1039" s="165"/>
      <c r="AB1039" s="165"/>
      <c r="AC1039" s="165"/>
      <c r="AD1039" s="165"/>
      <c r="AE1039" s="165"/>
      <c r="AF1039" s="165"/>
      <c r="AG1039" s="165"/>
      <c r="AH1039" s="165"/>
      <c r="AI1039" s="165"/>
      <c r="AJ1039" s="165"/>
      <c r="AK1039" s="165"/>
      <c r="AL1039" s="165"/>
      <c r="AM1039" s="165"/>
      <c r="AN1039" s="165"/>
      <c r="AO1039" s="165"/>
      <c r="AP1039" s="165"/>
      <c r="AQ1039" s="165"/>
    </row>
    <row r="1040" ht="15.75" customHeight="1">
      <c r="H1040" s="440"/>
      <c r="U1040" s="441"/>
      <c r="V1040" s="441"/>
      <c r="W1040" s="441"/>
      <c r="X1040" s="441"/>
      <c r="Y1040" s="442"/>
      <c r="Z1040" s="165"/>
      <c r="AA1040" s="165"/>
      <c r="AB1040" s="165"/>
      <c r="AC1040" s="165"/>
      <c r="AD1040" s="165"/>
      <c r="AE1040" s="165"/>
      <c r="AF1040" s="165"/>
      <c r="AG1040" s="165"/>
      <c r="AH1040" s="165"/>
      <c r="AI1040" s="165"/>
      <c r="AJ1040" s="165"/>
      <c r="AK1040" s="165"/>
      <c r="AL1040" s="165"/>
      <c r="AM1040" s="165"/>
      <c r="AN1040" s="165"/>
      <c r="AO1040" s="165"/>
      <c r="AP1040" s="165"/>
      <c r="AQ1040" s="165"/>
    </row>
    <row r="1041" ht="15.75" customHeight="1">
      <c r="H1041" s="440"/>
      <c r="U1041" s="441"/>
      <c r="V1041" s="441"/>
      <c r="W1041" s="441"/>
      <c r="X1041" s="441"/>
      <c r="Y1041" s="442"/>
      <c r="Z1041" s="165"/>
      <c r="AA1041" s="165"/>
      <c r="AB1041" s="165"/>
      <c r="AC1041" s="165"/>
      <c r="AD1041" s="165"/>
      <c r="AE1041" s="165"/>
      <c r="AF1041" s="165"/>
      <c r="AG1041" s="165"/>
      <c r="AH1041" s="165"/>
      <c r="AI1041" s="165"/>
      <c r="AJ1041" s="165"/>
      <c r="AK1041" s="165"/>
      <c r="AL1041" s="165"/>
      <c r="AM1041" s="165"/>
      <c r="AN1041" s="165"/>
      <c r="AO1041" s="165"/>
      <c r="AP1041" s="165"/>
      <c r="AQ1041" s="165"/>
    </row>
    <row r="1042" ht="15.75" customHeight="1">
      <c r="H1042" s="440"/>
      <c r="U1042" s="441"/>
      <c r="V1042" s="441"/>
      <c r="W1042" s="441"/>
      <c r="X1042" s="441"/>
      <c r="Y1042" s="442"/>
      <c r="Z1042" s="165"/>
      <c r="AA1042" s="165"/>
      <c r="AB1042" s="165"/>
      <c r="AC1042" s="165"/>
      <c r="AD1042" s="165"/>
      <c r="AE1042" s="165"/>
      <c r="AF1042" s="165"/>
      <c r="AG1042" s="165"/>
      <c r="AH1042" s="165"/>
      <c r="AI1042" s="165"/>
      <c r="AJ1042" s="165"/>
      <c r="AK1042" s="165"/>
      <c r="AL1042" s="165"/>
      <c r="AM1042" s="165"/>
      <c r="AN1042" s="165"/>
      <c r="AO1042" s="165"/>
      <c r="AP1042" s="165"/>
      <c r="AQ1042" s="165"/>
    </row>
    <row r="1043" ht="15.75" customHeight="1">
      <c r="H1043" s="440"/>
      <c r="U1043" s="441"/>
      <c r="V1043" s="441"/>
      <c r="W1043" s="441"/>
      <c r="X1043" s="441"/>
      <c r="Y1043" s="442"/>
      <c r="Z1043" s="165"/>
      <c r="AA1043" s="165"/>
      <c r="AB1043" s="165"/>
      <c r="AC1043" s="165"/>
      <c r="AD1043" s="165"/>
      <c r="AE1043" s="165"/>
      <c r="AF1043" s="165"/>
      <c r="AG1043" s="165"/>
      <c r="AH1043" s="165"/>
      <c r="AI1043" s="165"/>
      <c r="AJ1043" s="165"/>
      <c r="AK1043" s="165"/>
      <c r="AL1043" s="165"/>
      <c r="AM1043" s="165"/>
      <c r="AN1043" s="165"/>
      <c r="AO1043" s="165"/>
      <c r="AP1043" s="165"/>
      <c r="AQ1043" s="165"/>
    </row>
    <row r="1044" ht="15.75" customHeight="1">
      <c r="H1044" s="440"/>
      <c r="U1044" s="441"/>
      <c r="V1044" s="441"/>
      <c r="W1044" s="441"/>
      <c r="X1044" s="441"/>
      <c r="Y1044" s="442"/>
      <c r="Z1044" s="165"/>
      <c r="AA1044" s="165"/>
      <c r="AB1044" s="165"/>
      <c r="AC1044" s="165"/>
      <c r="AD1044" s="165"/>
      <c r="AE1044" s="165"/>
      <c r="AF1044" s="165"/>
      <c r="AG1044" s="165"/>
      <c r="AH1044" s="165"/>
      <c r="AI1044" s="165"/>
      <c r="AJ1044" s="165"/>
      <c r="AK1044" s="165"/>
      <c r="AL1044" s="165"/>
      <c r="AM1044" s="165"/>
      <c r="AN1044" s="165"/>
      <c r="AO1044" s="165"/>
      <c r="AP1044" s="165"/>
      <c r="AQ1044" s="165"/>
    </row>
    <row r="1045" ht="15.75" customHeight="1">
      <c r="H1045" s="440"/>
      <c r="U1045" s="441"/>
      <c r="V1045" s="441"/>
      <c r="W1045" s="441"/>
      <c r="X1045" s="441"/>
      <c r="Y1045" s="442"/>
      <c r="Z1045" s="165"/>
      <c r="AA1045" s="165"/>
      <c r="AB1045" s="165"/>
      <c r="AC1045" s="165"/>
      <c r="AD1045" s="165"/>
      <c r="AE1045" s="165"/>
      <c r="AF1045" s="165"/>
      <c r="AG1045" s="165"/>
      <c r="AH1045" s="165"/>
      <c r="AI1045" s="165"/>
      <c r="AJ1045" s="165"/>
      <c r="AK1045" s="165"/>
      <c r="AL1045" s="165"/>
      <c r="AM1045" s="165"/>
      <c r="AN1045" s="165"/>
      <c r="AO1045" s="165"/>
      <c r="AP1045" s="165"/>
      <c r="AQ1045" s="165"/>
    </row>
    <row r="1046" ht="15.75" customHeight="1">
      <c r="H1046" s="440"/>
      <c r="U1046" s="441"/>
      <c r="V1046" s="441"/>
      <c r="W1046" s="441"/>
      <c r="X1046" s="441"/>
      <c r="Y1046" s="442"/>
      <c r="Z1046" s="165"/>
      <c r="AA1046" s="165"/>
      <c r="AB1046" s="165"/>
      <c r="AC1046" s="165"/>
      <c r="AD1046" s="165"/>
      <c r="AE1046" s="165"/>
      <c r="AF1046" s="165"/>
      <c r="AG1046" s="165"/>
      <c r="AH1046" s="165"/>
      <c r="AI1046" s="165"/>
      <c r="AJ1046" s="165"/>
      <c r="AK1046" s="165"/>
      <c r="AL1046" s="165"/>
      <c r="AM1046" s="165"/>
      <c r="AN1046" s="165"/>
      <c r="AO1046" s="165"/>
      <c r="AP1046" s="165"/>
      <c r="AQ1046" s="165"/>
    </row>
    <row r="1047" ht="15.75" customHeight="1">
      <c r="H1047" s="440"/>
      <c r="U1047" s="441"/>
      <c r="V1047" s="441"/>
      <c r="W1047" s="441"/>
      <c r="X1047" s="441"/>
      <c r="Y1047" s="442"/>
      <c r="Z1047" s="165"/>
      <c r="AA1047" s="165"/>
      <c r="AB1047" s="165"/>
      <c r="AC1047" s="165"/>
      <c r="AD1047" s="165"/>
      <c r="AE1047" s="165"/>
      <c r="AF1047" s="165"/>
      <c r="AG1047" s="165"/>
      <c r="AH1047" s="165"/>
      <c r="AI1047" s="165"/>
      <c r="AJ1047" s="165"/>
      <c r="AK1047" s="165"/>
      <c r="AL1047" s="165"/>
      <c r="AM1047" s="165"/>
      <c r="AN1047" s="165"/>
      <c r="AO1047" s="165"/>
      <c r="AP1047" s="165"/>
      <c r="AQ1047" s="165"/>
    </row>
    <row r="1048" ht="15.75" customHeight="1">
      <c r="H1048" s="440"/>
      <c r="U1048" s="441"/>
      <c r="V1048" s="441"/>
      <c r="W1048" s="441"/>
      <c r="X1048" s="441"/>
      <c r="Y1048" s="442"/>
      <c r="Z1048" s="165"/>
      <c r="AA1048" s="165"/>
      <c r="AB1048" s="165"/>
      <c r="AC1048" s="165"/>
      <c r="AD1048" s="165"/>
      <c r="AE1048" s="165"/>
      <c r="AF1048" s="165"/>
      <c r="AG1048" s="165"/>
      <c r="AH1048" s="165"/>
      <c r="AI1048" s="165"/>
      <c r="AJ1048" s="165"/>
      <c r="AK1048" s="165"/>
      <c r="AL1048" s="165"/>
      <c r="AM1048" s="165"/>
      <c r="AN1048" s="165"/>
      <c r="AO1048" s="165"/>
      <c r="AP1048" s="165"/>
      <c r="AQ1048" s="165"/>
    </row>
    <row r="1049" ht="15.75" customHeight="1">
      <c r="H1049" s="440"/>
      <c r="U1049" s="441"/>
      <c r="V1049" s="441"/>
      <c r="W1049" s="441"/>
      <c r="X1049" s="441"/>
      <c r="Y1049" s="442"/>
      <c r="Z1049" s="165"/>
      <c r="AA1049" s="165"/>
      <c r="AB1049" s="165"/>
      <c r="AC1049" s="165"/>
      <c r="AD1049" s="165"/>
      <c r="AE1049" s="165"/>
      <c r="AF1049" s="165"/>
      <c r="AG1049" s="165"/>
      <c r="AH1049" s="165"/>
      <c r="AI1049" s="165"/>
      <c r="AJ1049" s="165"/>
      <c r="AK1049" s="165"/>
      <c r="AL1049" s="165"/>
      <c r="AM1049" s="165"/>
      <c r="AN1049" s="165"/>
      <c r="AO1049" s="165"/>
      <c r="AP1049" s="165"/>
      <c r="AQ1049" s="165"/>
    </row>
    <row r="1050" ht="15.75" customHeight="1">
      <c r="H1050" s="440"/>
      <c r="U1050" s="441"/>
      <c r="V1050" s="441"/>
      <c r="W1050" s="441"/>
      <c r="X1050" s="441"/>
      <c r="Y1050" s="442"/>
      <c r="Z1050" s="165"/>
      <c r="AA1050" s="165"/>
      <c r="AB1050" s="165"/>
      <c r="AC1050" s="165"/>
      <c r="AD1050" s="165"/>
      <c r="AE1050" s="165"/>
      <c r="AF1050" s="165"/>
      <c r="AG1050" s="165"/>
      <c r="AH1050" s="165"/>
      <c r="AI1050" s="165"/>
      <c r="AJ1050" s="165"/>
      <c r="AK1050" s="165"/>
      <c r="AL1050" s="165"/>
      <c r="AM1050" s="165"/>
      <c r="AN1050" s="165"/>
      <c r="AO1050" s="165"/>
      <c r="AP1050" s="165"/>
      <c r="AQ1050" s="165"/>
    </row>
    <row r="1051" ht="15.75" customHeight="1">
      <c r="H1051" s="440"/>
      <c r="U1051" s="441"/>
      <c r="V1051" s="441"/>
      <c r="W1051" s="441"/>
      <c r="X1051" s="441"/>
      <c r="Y1051" s="442"/>
      <c r="Z1051" s="165"/>
      <c r="AA1051" s="165"/>
      <c r="AB1051" s="165"/>
      <c r="AC1051" s="165"/>
      <c r="AD1051" s="165"/>
      <c r="AE1051" s="165"/>
      <c r="AF1051" s="165"/>
      <c r="AG1051" s="165"/>
      <c r="AH1051" s="165"/>
      <c r="AI1051" s="165"/>
      <c r="AJ1051" s="165"/>
      <c r="AK1051" s="165"/>
      <c r="AL1051" s="165"/>
      <c r="AM1051" s="165"/>
      <c r="AN1051" s="165"/>
      <c r="AO1051" s="165"/>
      <c r="AP1051" s="165"/>
      <c r="AQ1051" s="165"/>
    </row>
    <row r="1052" ht="15.75" customHeight="1">
      <c r="H1052" s="440"/>
      <c r="U1052" s="441"/>
      <c r="V1052" s="441"/>
      <c r="W1052" s="441"/>
      <c r="X1052" s="441"/>
      <c r="Y1052" s="442"/>
      <c r="Z1052" s="165"/>
      <c r="AA1052" s="165"/>
      <c r="AB1052" s="165"/>
      <c r="AC1052" s="165"/>
      <c r="AD1052" s="165"/>
      <c r="AE1052" s="165"/>
      <c r="AF1052" s="165"/>
      <c r="AG1052" s="165"/>
      <c r="AH1052" s="165"/>
      <c r="AI1052" s="165"/>
      <c r="AJ1052" s="165"/>
      <c r="AK1052" s="165"/>
      <c r="AL1052" s="165"/>
      <c r="AM1052" s="165"/>
      <c r="AN1052" s="165"/>
      <c r="AO1052" s="165"/>
      <c r="AP1052" s="165"/>
      <c r="AQ1052" s="165"/>
    </row>
    <row r="1053" ht="15.75" customHeight="1">
      <c r="H1053" s="440"/>
      <c r="U1053" s="441"/>
      <c r="V1053" s="441"/>
      <c r="W1053" s="441"/>
      <c r="X1053" s="441"/>
      <c r="Y1053" s="442"/>
      <c r="Z1053" s="165"/>
      <c r="AA1053" s="165"/>
      <c r="AB1053" s="165"/>
      <c r="AC1053" s="165"/>
      <c r="AD1053" s="165"/>
      <c r="AE1053" s="165"/>
      <c r="AF1053" s="165"/>
      <c r="AG1053" s="165"/>
      <c r="AH1053" s="165"/>
      <c r="AI1053" s="165"/>
      <c r="AJ1053" s="165"/>
      <c r="AK1053" s="165"/>
      <c r="AL1053" s="165"/>
      <c r="AM1053" s="165"/>
      <c r="AN1053" s="165"/>
      <c r="AO1053" s="165"/>
      <c r="AP1053" s="165"/>
      <c r="AQ1053" s="165"/>
    </row>
    <row r="1054" ht="15.75" customHeight="1">
      <c r="H1054" s="440"/>
      <c r="U1054" s="441"/>
      <c r="V1054" s="441"/>
      <c r="W1054" s="441"/>
      <c r="X1054" s="441"/>
      <c r="Y1054" s="442"/>
      <c r="Z1054" s="165"/>
      <c r="AA1054" s="165"/>
      <c r="AB1054" s="165"/>
      <c r="AC1054" s="165"/>
      <c r="AD1054" s="165"/>
      <c r="AE1054" s="165"/>
      <c r="AF1054" s="165"/>
      <c r="AG1054" s="165"/>
      <c r="AH1054" s="165"/>
      <c r="AI1054" s="165"/>
      <c r="AJ1054" s="165"/>
      <c r="AK1054" s="165"/>
      <c r="AL1054" s="165"/>
      <c r="AM1054" s="165"/>
      <c r="AN1054" s="165"/>
      <c r="AO1054" s="165"/>
      <c r="AP1054" s="165"/>
      <c r="AQ1054" s="165"/>
    </row>
    <row r="1055" ht="15.75" customHeight="1">
      <c r="H1055" s="440"/>
      <c r="U1055" s="441"/>
      <c r="V1055" s="441"/>
      <c r="W1055" s="441"/>
      <c r="X1055" s="441"/>
      <c r="Y1055" s="442"/>
      <c r="Z1055" s="165"/>
      <c r="AA1055" s="165"/>
      <c r="AB1055" s="165"/>
      <c r="AC1055" s="165"/>
      <c r="AD1055" s="165"/>
      <c r="AE1055" s="165"/>
      <c r="AF1055" s="165"/>
      <c r="AG1055" s="165"/>
      <c r="AH1055" s="165"/>
      <c r="AI1055" s="165"/>
      <c r="AJ1055" s="165"/>
      <c r="AK1055" s="165"/>
      <c r="AL1055" s="165"/>
      <c r="AM1055" s="165"/>
      <c r="AN1055" s="165"/>
      <c r="AO1055" s="165"/>
      <c r="AP1055" s="165"/>
      <c r="AQ1055" s="165"/>
    </row>
    <row r="1056" ht="15.75" customHeight="1">
      <c r="H1056" s="440"/>
      <c r="U1056" s="441"/>
      <c r="V1056" s="441"/>
      <c r="W1056" s="441"/>
      <c r="X1056" s="441"/>
      <c r="Y1056" s="442"/>
      <c r="Z1056" s="165"/>
      <c r="AA1056" s="165"/>
      <c r="AB1056" s="165"/>
      <c r="AC1056" s="165"/>
      <c r="AD1056" s="165"/>
      <c r="AE1056" s="165"/>
      <c r="AF1056" s="165"/>
      <c r="AG1056" s="165"/>
      <c r="AH1056" s="165"/>
      <c r="AI1056" s="165"/>
      <c r="AJ1056" s="165"/>
      <c r="AK1056" s="165"/>
      <c r="AL1056" s="165"/>
      <c r="AM1056" s="165"/>
      <c r="AN1056" s="165"/>
      <c r="AO1056" s="165"/>
      <c r="AP1056" s="165"/>
      <c r="AQ1056" s="165"/>
    </row>
    <row r="1057" ht="15.75" customHeight="1">
      <c r="H1057" s="440"/>
      <c r="U1057" s="441"/>
      <c r="V1057" s="441"/>
      <c r="W1057" s="441"/>
      <c r="X1057" s="441"/>
      <c r="Y1057" s="442"/>
      <c r="Z1057" s="165"/>
      <c r="AA1057" s="165"/>
      <c r="AB1057" s="165"/>
      <c r="AC1057" s="165"/>
      <c r="AD1057" s="165"/>
      <c r="AE1057" s="165"/>
      <c r="AF1057" s="165"/>
      <c r="AG1057" s="165"/>
      <c r="AH1057" s="165"/>
      <c r="AI1057" s="165"/>
      <c r="AJ1057" s="165"/>
      <c r="AK1057" s="165"/>
      <c r="AL1057" s="165"/>
      <c r="AM1057" s="165"/>
      <c r="AN1057" s="165"/>
      <c r="AO1057" s="165"/>
      <c r="AP1057" s="165"/>
      <c r="AQ1057" s="165"/>
    </row>
    <row r="1058" ht="15.75" customHeight="1">
      <c r="H1058" s="440"/>
      <c r="U1058" s="441"/>
      <c r="V1058" s="441"/>
      <c r="W1058" s="441"/>
      <c r="X1058" s="441"/>
      <c r="Y1058" s="442"/>
      <c r="Z1058" s="165"/>
      <c r="AA1058" s="165"/>
      <c r="AB1058" s="165"/>
      <c r="AC1058" s="165"/>
      <c r="AD1058" s="165"/>
      <c r="AE1058" s="165"/>
      <c r="AF1058" s="165"/>
      <c r="AG1058" s="165"/>
      <c r="AH1058" s="165"/>
      <c r="AI1058" s="165"/>
      <c r="AJ1058" s="165"/>
      <c r="AK1058" s="165"/>
      <c r="AL1058" s="165"/>
      <c r="AM1058" s="165"/>
      <c r="AN1058" s="165"/>
      <c r="AO1058" s="165"/>
      <c r="AP1058" s="165"/>
      <c r="AQ1058" s="165"/>
    </row>
    <row r="1059" ht="15.75" customHeight="1">
      <c r="H1059" s="440"/>
      <c r="U1059" s="441"/>
      <c r="V1059" s="441"/>
      <c r="W1059" s="441"/>
      <c r="X1059" s="441"/>
      <c r="Y1059" s="442"/>
      <c r="Z1059" s="165"/>
      <c r="AA1059" s="165"/>
      <c r="AB1059" s="165"/>
      <c r="AC1059" s="165"/>
      <c r="AD1059" s="165"/>
      <c r="AE1059" s="165"/>
      <c r="AF1059" s="165"/>
      <c r="AG1059" s="165"/>
      <c r="AH1059" s="165"/>
      <c r="AI1059" s="165"/>
      <c r="AJ1059" s="165"/>
      <c r="AK1059" s="165"/>
      <c r="AL1059" s="165"/>
      <c r="AM1059" s="165"/>
      <c r="AN1059" s="165"/>
      <c r="AO1059" s="165"/>
      <c r="AP1059" s="165"/>
      <c r="AQ1059" s="165"/>
    </row>
    <row r="1060" ht="15.75" customHeight="1">
      <c r="H1060" s="440"/>
      <c r="U1060" s="441"/>
      <c r="V1060" s="441"/>
      <c r="W1060" s="441"/>
      <c r="X1060" s="441"/>
      <c r="Y1060" s="442"/>
      <c r="Z1060" s="165"/>
      <c r="AA1060" s="165"/>
      <c r="AB1060" s="165"/>
      <c r="AC1060" s="165"/>
      <c r="AD1060" s="165"/>
      <c r="AE1060" s="165"/>
      <c r="AF1060" s="165"/>
      <c r="AG1060" s="165"/>
      <c r="AH1060" s="165"/>
      <c r="AI1060" s="165"/>
      <c r="AJ1060" s="165"/>
      <c r="AK1060" s="165"/>
      <c r="AL1060" s="165"/>
      <c r="AM1060" s="165"/>
      <c r="AN1060" s="165"/>
      <c r="AO1060" s="165"/>
      <c r="AP1060" s="165"/>
      <c r="AQ1060" s="165"/>
    </row>
    <row r="1061" ht="15.75" customHeight="1">
      <c r="H1061" s="440"/>
      <c r="U1061" s="441"/>
      <c r="V1061" s="441"/>
      <c r="W1061" s="441"/>
      <c r="X1061" s="441"/>
      <c r="Y1061" s="442"/>
      <c r="Z1061" s="165"/>
      <c r="AA1061" s="165"/>
      <c r="AB1061" s="165"/>
      <c r="AC1061" s="165"/>
      <c r="AD1061" s="165"/>
      <c r="AE1061" s="165"/>
      <c r="AF1061" s="165"/>
      <c r="AG1061" s="165"/>
      <c r="AH1061" s="165"/>
      <c r="AI1061" s="165"/>
      <c r="AJ1061" s="165"/>
      <c r="AK1061" s="165"/>
      <c r="AL1061" s="165"/>
      <c r="AM1061" s="165"/>
      <c r="AN1061" s="165"/>
      <c r="AO1061" s="165"/>
      <c r="AP1061" s="165"/>
      <c r="AQ1061" s="165"/>
    </row>
    <row r="1062" ht="15.75" customHeight="1">
      <c r="H1062" s="440"/>
      <c r="U1062" s="441"/>
      <c r="V1062" s="441"/>
      <c r="W1062" s="441"/>
      <c r="X1062" s="441"/>
      <c r="Y1062" s="442"/>
      <c r="Z1062" s="165"/>
      <c r="AA1062" s="165"/>
      <c r="AB1062" s="165"/>
      <c r="AC1062" s="165"/>
      <c r="AD1062" s="165"/>
      <c r="AE1062" s="165"/>
      <c r="AF1062" s="165"/>
      <c r="AG1062" s="165"/>
      <c r="AH1062" s="165"/>
      <c r="AI1062" s="165"/>
      <c r="AJ1062" s="165"/>
      <c r="AK1062" s="165"/>
      <c r="AL1062" s="165"/>
      <c r="AM1062" s="165"/>
      <c r="AN1062" s="165"/>
      <c r="AO1062" s="165"/>
      <c r="AP1062" s="165"/>
      <c r="AQ1062" s="165"/>
    </row>
    <row r="1063" ht="15.75" customHeight="1">
      <c r="H1063" s="440"/>
      <c r="U1063" s="441"/>
      <c r="V1063" s="441"/>
      <c r="W1063" s="441"/>
      <c r="X1063" s="441"/>
      <c r="Y1063" s="442"/>
      <c r="Z1063" s="165"/>
      <c r="AA1063" s="165"/>
      <c r="AB1063" s="165"/>
      <c r="AC1063" s="165"/>
      <c r="AD1063" s="165"/>
      <c r="AE1063" s="165"/>
      <c r="AF1063" s="165"/>
      <c r="AG1063" s="165"/>
      <c r="AH1063" s="165"/>
      <c r="AI1063" s="165"/>
      <c r="AJ1063" s="165"/>
      <c r="AK1063" s="165"/>
      <c r="AL1063" s="165"/>
      <c r="AM1063" s="165"/>
      <c r="AN1063" s="165"/>
      <c r="AO1063" s="165"/>
      <c r="AP1063" s="165"/>
      <c r="AQ1063" s="165"/>
    </row>
    <row r="1064" ht="15.75" customHeight="1">
      <c r="H1064" s="440"/>
      <c r="U1064" s="441"/>
      <c r="V1064" s="441"/>
      <c r="W1064" s="441"/>
      <c r="X1064" s="441"/>
      <c r="Y1064" s="442"/>
      <c r="Z1064" s="165"/>
      <c r="AA1064" s="165"/>
      <c r="AB1064" s="165"/>
      <c r="AC1064" s="165"/>
      <c r="AD1064" s="165"/>
      <c r="AE1064" s="165"/>
      <c r="AF1064" s="165"/>
      <c r="AG1064" s="165"/>
      <c r="AH1064" s="165"/>
      <c r="AI1064" s="165"/>
      <c r="AJ1064" s="165"/>
      <c r="AK1064" s="165"/>
      <c r="AL1064" s="165"/>
      <c r="AM1064" s="165"/>
      <c r="AN1064" s="165"/>
      <c r="AO1064" s="165"/>
      <c r="AP1064" s="165"/>
      <c r="AQ1064" s="165"/>
    </row>
    <row r="1065" ht="15.75" customHeight="1">
      <c r="H1065" s="440"/>
      <c r="U1065" s="441"/>
      <c r="V1065" s="441"/>
      <c r="W1065" s="441"/>
      <c r="X1065" s="441"/>
      <c r="Y1065" s="442"/>
      <c r="Z1065" s="165"/>
      <c r="AA1065" s="165"/>
      <c r="AB1065" s="165"/>
      <c r="AC1065" s="165"/>
      <c r="AD1065" s="165"/>
      <c r="AE1065" s="165"/>
      <c r="AF1065" s="165"/>
      <c r="AG1065" s="165"/>
      <c r="AH1065" s="165"/>
      <c r="AI1065" s="165"/>
      <c r="AJ1065" s="165"/>
      <c r="AK1065" s="165"/>
      <c r="AL1065" s="165"/>
      <c r="AM1065" s="165"/>
      <c r="AN1065" s="165"/>
      <c r="AO1065" s="165"/>
      <c r="AP1065" s="165"/>
      <c r="AQ1065" s="165"/>
    </row>
    <row r="1066" ht="15.75" customHeight="1">
      <c r="H1066" s="440"/>
      <c r="U1066" s="441"/>
      <c r="V1066" s="441"/>
      <c r="W1066" s="441"/>
      <c r="X1066" s="441"/>
      <c r="Y1066" s="442"/>
      <c r="Z1066" s="165"/>
      <c r="AA1066" s="165"/>
      <c r="AB1066" s="165"/>
      <c r="AC1066" s="165"/>
      <c r="AD1066" s="165"/>
      <c r="AE1066" s="165"/>
      <c r="AF1066" s="165"/>
      <c r="AG1066" s="165"/>
      <c r="AH1066" s="165"/>
      <c r="AI1066" s="165"/>
      <c r="AJ1066" s="165"/>
      <c r="AK1066" s="165"/>
      <c r="AL1066" s="165"/>
      <c r="AM1066" s="165"/>
      <c r="AN1066" s="165"/>
      <c r="AO1066" s="165"/>
      <c r="AP1066" s="165"/>
      <c r="AQ1066" s="165"/>
    </row>
    <row r="1067" ht="15.75" customHeight="1">
      <c r="H1067" s="440"/>
      <c r="U1067" s="441"/>
      <c r="V1067" s="441"/>
      <c r="W1067" s="441"/>
      <c r="X1067" s="441"/>
      <c r="Y1067" s="442"/>
      <c r="Z1067" s="165"/>
      <c r="AA1067" s="165"/>
      <c r="AB1067" s="165"/>
      <c r="AC1067" s="165"/>
      <c r="AD1067" s="165"/>
      <c r="AE1067" s="165"/>
      <c r="AF1067" s="165"/>
      <c r="AG1067" s="165"/>
      <c r="AH1067" s="165"/>
      <c r="AI1067" s="165"/>
      <c r="AJ1067" s="165"/>
      <c r="AK1067" s="165"/>
      <c r="AL1067" s="165"/>
      <c r="AM1067" s="165"/>
      <c r="AN1067" s="165"/>
      <c r="AO1067" s="165"/>
      <c r="AP1067" s="165"/>
      <c r="AQ1067" s="165"/>
    </row>
    <row r="1068" ht="15.75" customHeight="1">
      <c r="H1068" s="440"/>
      <c r="U1068" s="441"/>
      <c r="V1068" s="441"/>
      <c r="W1068" s="441"/>
      <c r="X1068" s="441"/>
      <c r="Y1068" s="442"/>
      <c r="Z1068" s="165"/>
      <c r="AA1068" s="165"/>
      <c r="AB1068" s="165"/>
      <c r="AC1068" s="165"/>
      <c r="AD1068" s="165"/>
      <c r="AE1068" s="165"/>
      <c r="AF1068" s="165"/>
      <c r="AG1068" s="165"/>
      <c r="AH1068" s="165"/>
      <c r="AI1068" s="165"/>
      <c r="AJ1068" s="165"/>
      <c r="AK1068" s="165"/>
      <c r="AL1068" s="165"/>
      <c r="AM1068" s="165"/>
      <c r="AN1068" s="165"/>
      <c r="AO1068" s="165"/>
      <c r="AP1068" s="165"/>
      <c r="AQ1068" s="165"/>
    </row>
    <row r="1069" ht="15.75" customHeight="1">
      <c r="H1069" s="440"/>
      <c r="U1069" s="441"/>
      <c r="V1069" s="441"/>
      <c r="W1069" s="441"/>
      <c r="X1069" s="441"/>
      <c r="Y1069" s="442"/>
      <c r="Z1069" s="165"/>
      <c r="AA1069" s="165"/>
      <c r="AB1069" s="165"/>
      <c r="AC1069" s="165"/>
      <c r="AD1069" s="165"/>
      <c r="AE1069" s="165"/>
      <c r="AF1069" s="165"/>
      <c r="AG1069" s="165"/>
      <c r="AH1069" s="165"/>
      <c r="AI1069" s="165"/>
      <c r="AJ1069" s="165"/>
      <c r="AK1069" s="165"/>
      <c r="AL1069" s="165"/>
      <c r="AM1069" s="165"/>
      <c r="AN1069" s="165"/>
      <c r="AO1069" s="165"/>
      <c r="AP1069" s="165"/>
      <c r="AQ1069" s="165"/>
    </row>
    <row r="1070" ht="15.75" customHeight="1">
      <c r="H1070" s="440"/>
      <c r="U1070" s="441"/>
      <c r="V1070" s="441"/>
      <c r="W1070" s="441"/>
      <c r="X1070" s="441"/>
      <c r="Y1070" s="442"/>
      <c r="Z1070" s="165"/>
      <c r="AA1070" s="165"/>
      <c r="AB1070" s="165"/>
      <c r="AC1070" s="165"/>
      <c r="AD1070" s="165"/>
      <c r="AE1070" s="165"/>
      <c r="AF1070" s="165"/>
      <c r="AG1070" s="165"/>
      <c r="AH1070" s="165"/>
      <c r="AI1070" s="165"/>
      <c r="AJ1070" s="165"/>
      <c r="AK1070" s="165"/>
      <c r="AL1070" s="165"/>
      <c r="AM1070" s="165"/>
      <c r="AN1070" s="165"/>
      <c r="AO1070" s="165"/>
      <c r="AP1070" s="165"/>
      <c r="AQ1070" s="165"/>
    </row>
    <row r="1071" ht="15.75" customHeight="1">
      <c r="H1071" s="440"/>
      <c r="U1071" s="441"/>
      <c r="V1071" s="441"/>
      <c r="W1071" s="441"/>
      <c r="X1071" s="441"/>
      <c r="Y1071" s="442"/>
      <c r="Z1071" s="165"/>
      <c r="AA1071" s="165"/>
      <c r="AB1071" s="165"/>
      <c r="AC1071" s="165"/>
      <c r="AD1071" s="165"/>
      <c r="AE1071" s="165"/>
      <c r="AF1071" s="165"/>
      <c r="AG1071" s="165"/>
      <c r="AH1071" s="165"/>
      <c r="AI1071" s="165"/>
      <c r="AJ1071" s="165"/>
      <c r="AK1071" s="165"/>
      <c r="AL1071" s="165"/>
      <c r="AM1071" s="165"/>
      <c r="AN1071" s="165"/>
      <c r="AO1071" s="165"/>
      <c r="AP1071" s="165"/>
      <c r="AQ1071" s="165"/>
    </row>
    <row r="1072" ht="15.75" customHeight="1">
      <c r="H1072" s="440"/>
      <c r="U1072" s="441"/>
      <c r="V1072" s="441"/>
      <c r="W1072" s="441"/>
      <c r="X1072" s="441"/>
      <c r="Y1072" s="442"/>
      <c r="Z1072" s="165"/>
      <c r="AA1072" s="165"/>
      <c r="AB1072" s="165"/>
      <c r="AC1072" s="165"/>
      <c r="AD1072" s="165"/>
      <c r="AE1072" s="165"/>
      <c r="AF1072" s="165"/>
      <c r="AG1072" s="165"/>
      <c r="AH1072" s="165"/>
      <c r="AI1072" s="165"/>
      <c r="AJ1072" s="165"/>
      <c r="AK1072" s="165"/>
      <c r="AL1072" s="165"/>
      <c r="AM1072" s="165"/>
      <c r="AN1072" s="165"/>
      <c r="AO1072" s="165"/>
      <c r="AP1072" s="165"/>
      <c r="AQ1072" s="165"/>
    </row>
    <row r="1073" ht="15.75" customHeight="1">
      <c r="H1073" s="440"/>
      <c r="U1073" s="441"/>
      <c r="V1073" s="441"/>
      <c r="W1073" s="441"/>
      <c r="X1073" s="441"/>
      <c r="Y1073" s="442"/>
      <c r="Z1073" s="165"/>
      <c r="AA1073" s="165"/>
      <c r="AB1073" s="165"/>
      <c r="AC1073" s="165"/>
      <c r="AD1073" s="165"/>
      <c r="AE1073" s="165"/>
      <c r="AF1073" s="165"/>
      <c r="AG1073" s="165"/>
      <c r="AH1073" s="165"/>
      <c r="AI1073" s="165"/>
      <c r="AJ1073" s="165"/>
      <c r="AK1073" s="165"/>
      <c r="AL1073" s="165"/>
      <c r="AM1073" s="165"/>
      <c r="AN1073" s="165"/>
      <c r="AO1073" s="165"/>
      <c r="AP1073" s="165"/>
      <c r="AQ1073" s="165"/>
    </row>
    <row r="1074" ht="15.75" customHeight="1">
      <c r="H1074" s="440"/>
      <c r="U1074" s="441"/>
      <c r="V1074" s="441"/>
      <c r="W1074" s="441"/>
      <c r="X1074" s="441"/>
      <c r="Y1074" s="442"/>
      <c r="Z1074" s="165"/>
      <c r="AA1074" s="165"/>
      <c r="AB1074" s="165"/>
      <c r="AC1074" s="165"/>
      <c r="AD1074" s="165"/>
      <c r="AE1074" s="165"/>
      <c r="AF1074" s="165"/>
      <c r="AG1074" s="165"/>
      <c r="AH1074" s="165"/>
      <c r="AI1074" s="165"/>
      <c r="AJ1074" s="165"/>
      <c r="AK1074" s="165"/>
      <c r="AL1074" s="165"/>
      <c r="AM1074" s="165"/>
      <c r="AN1074" s="165"/>
      <c r="AO1074" s="165"/>
      <c r="AP1074" s="165"/>
      <c r="AQ1074" s="165"/>
    </row>
    <row r="1075" ht="15.75" customHeight="1">
      <c r="H1075" s="440"/>
      <c r="U1075" s="441"/>
      <c r="V1075" s="441"/>
      <c r="W1075" s="441"/>
      <c r="X1075" s="441"/>
      <c r="Y1075" s="442"/>
      <c r="Z1075" s="165"/>
      <c r="AA1075" s="165"/>
      <c r="AB1075" s="165"/>
      <c r="AC1075" s="165"/>
      <c r="AD1075" s="165"/>
      <c r="AE1075" s="165"/>
      <c r="AF1075" s="165"/>
      <c r="AG1075" s="165"/>
      <c r="AH1075" s="165"/>
      <c r="AI1075" s="165"/>
      <c r="AJ1075" s="165"/>
      <c r="AK1075" s="165"/>
      <c r="AL1075" s="165"/>
      <c r="AM1075" s="165"/>
      <c r="AN1075" s="165"/>
      <c r="AO1075" s="165"/>
      <c r="AP1075" s="165"/>
      <c r="AQ1075" s="165"/>
    </row>
    <row r="1076" ht="15.75" customHeight="1">
      <c r="H1076" s="440"/>
      <c r="U1076" s="441"/>
      <c r="V1076" s="441"/>
      <c r="W1076" s="441"/>
      <c r="X1076" s="441"/>
      <c r="Y1076" s="442"/>
      <c r="Z1076" s="165"/>
      <c r="AA1076" s="165"/>
      <c r="AB1076" s="165"/>
      <c r="AC1076" s="165"/>
      <c r="AD1076" s="165"/>
      <c r="AE1076" s="165"/>
      <c r="AF1076" s="165"/>
      <c r="AG1076" s="165"/>
      <c r="AH1076" s="165"/>
      <c r="AI1076" s="165"/>
      <c r="AJ1076" s="165"/>
      <c r="AK1076" s="165"/>
      <c r="AL1076" s="165"/>
      <c r="AM1076" s="165"/>
      <c r="AN1076" s="165"/>
      <c r="AO1076" s="165"/>
      <c r="AP1076" s="165"/>
      <c r="AQ1076" s="165"/>
    </row>
    <row r="1077" ht="15.75" customHeight="1">
      <c r="H1077" s="440"/>
      <c r="U1077" s="441"/>
      <c r="V1077" s="441"/>
      <c r="W1077" s="441"/>
      <c r="X1077" s="441"/>
      <c r="Y1077" s="442"/>
      <c r="Z1077" s="165"/>
      <c r="AA1077" s="165"/>
      <c r="AB1077" s="165"/>
      <c r="AC1077" s="165"/>
      <c r="AD1077" s="165"/>
      <c r="AE1077" s="165"/>
      <c r="AF1077" s="165"/>
      <c r="AG1077" s="165"/>
      <c r="AH1077" s="165"/>
      <c r="AI1077" s="165"/>
      <c r="AJ1077" s="165"/>
      <c r="AK1077" s="165"/>
      <c r="AL1077" s="165"/>
      <c r="AM1077" s="165"/>
      <c r="AN1077" s="165"/>
      <c r="AO1077" s="165"/>
      <c r="AP1077" s="165"/>
      <c r="AQ1077" s="165"/>
    </row>
    <row r="1078" ht="15.75" customHeight="1">
      <c r="H1078" s="440"/>
      <c r="U1078" s="441"/>
      <c r="V1078" s="441"/>
      <c r="W1078" s="441"/>
      <c r="X1078" s="441"/>
      <c r="Y1078" s="442"/>
      <c r="Z1078" s="165"/>
      <c r="AA1078" s="165"/>
      <c r="AB1078" s="165"/>
      <c r="AC1078" s="165"/>
      <c r="AD1078" s="165"/>
      <c r="AE1078" s="165"/>
      <c r="AF1078" s="165"/>
      <c r="AG1078" s="165"/>
      <c r="AH1078" s="165"/>
      <c r="AI1078" s="165"/>
      <c r="AJ1078" s="165"/>
      <c r="AK1078" s="165"/>
      <c r="AL1078" s="165"/>
      <c r="AM1078" s="165"/>
      <c r="AN1078" s="165"/>
      <c r="AO1078" s="165"/>
      <c r="AP1078" s="165"/>
      <c r="AQ1078" s="165"/>
    </row>
    <row r="1079" ht="15.75" customHeight="1">
      <c r="H1079" s="440"/>
      <c r="U1079" s="441"/>
      <c r="V1079" s="441"/>
      <c r="W1079" s="441"/>
      <c r="X1079" s="441"/>
      <c r="Y1079" s="442"/>
      <c r="Z1079" s="165"/>
      <c r="AA1079" s="165"/>
      <c r="AB1079" s="165"/>
      <c r="AC1079" s="165"/>
      <c r="AD1079" s="165"/>
      <c r="AE1079" s="165"/>
      <c r="AF1079" s="165"/>
      <c r="AG1079" s="165"/>
      <c r="AH1079" s="165"/>
      <c r="AI1079" s="165"/>
      <c r="AJ1079" s="165"/>
      <c r="AK1079" s="165"/>
      <c r="AL1079" s="165"/>
      <c r="AM1079" s="165"/>
      <c r="AN1079" s="165"/>
      <c r="AO1079" s="165"/>
      <c r="AP1079" s="165"/>
      <c r="AQ1079" s="165"/>
    </row>
    <row r="1080" ht="15.75" customHeight="1">
      <c r="H1080" s="440"/>
      <c r="U1080" s="441"/>
      <c r="V1080" s="441"/>
      <c r="W1080" s="441"/>
      <c r="X1080" s="441"/>
      <c r="Y1080" s="442"/>
      <c r="Z1080" s="165"/>
      <c r="AA1080" s="165"/>
      <c r="AB1080" s="165"/>
      <c r="AC1080" s="165"/>
      <c r="AD1080" s="165"/>
      <c r="AE1080" s="165"/>
      <c r="AF1080" s="165"/>
      <c r="AG1080" s="165"/>
      <c r="AH1080" s="165"/>
      <c r="AI1080" s="165"/>
      <c r="AJ1080" s="165"/>
      <c r="AK1080" s="165"/>
      <c r="AL1080" s="165"/>
      <c r="AM1080" s="165"/>
      <c r="AN1080" s="165"/>
      <c r="AO1080" s="165"/>
      <c r="AP1080" s="165"/>
      <c r="AQ1080" s="165"/>
    </row>
    <row r="1081" ht="15.75" customHeight="1">
      <c r="H1081" s="440"/>
      <c r="U1081" s="441"/>
      <c r="V1081" s="441"/>
      <c r="W1081" s="441"/>
      <c r="X1081" s="441"/>
      <c r="Y1081" s="442"/>
      <c r="Z1081" s="165"/>
      <c r="AA1081" s="165"/>
      <c r="AB1081" s="165"/>
      <c r="AC1081" s="165"/>
      <c r="AD1081" s="165"/>
      <c r="AE1081" s="165"/>
      <c r="AF1081" s="165"/>
      <c r="AG1081" s="165"/>
      <c r="AH1081" s="165"/>
      <c r="AI1081" s="165"/>
      <c r="AJ1081" s="165"/>
      <c r="AK1081" s="165"/>
      <c r="AL1081" s="165"/>
      <c r="AM1081" s="165"/>
      <c r="AN1081" s="165"/>
      <c r="AO1081" s="165"/>
      <c r="AP1081" s="165"/>
      <c r="AQ1081" s="165"/>
    </row>
    <row r="1082" ht="15.75" customHeight="1">
      <c r="H1082" s="440"/>
      <c r="U1082" s="441"/>
      <c r="V1082" s="441"/>
      <c r="W1082" s="441"/>
      <c r="X1082" s="441"/>
      <c r="Y1082" s="442"/>
      <c r="Z1082" s="165"/>
      <c r="AA1082" s="165"/>
      <c r="AB1082" s="165"/>
      <c r="AC1082" s="165"/>
      <c r="AD1082" s="165"/>
      <c r="AE1082" s="165"/>
      <c r="AF1082" s="165"/>
      <c r="AG1082" s="165"/>
      <c r="AH1082" s="165"/>
      <c r="AI1082" s="165"/>
      <c r="AJ1082" s="165"/>
      <c r="AK1082" s="165"/>
      <c r="AL1082" s="165"/>
      <c r="AM1082" s="165"/>
      <c r="AN1082" s="165"/>
      <c r="AO1082" s="165"/>
      <c r="AP1082" s="165"/>
      <c r="AQ1082" s="165"/>
    </row>
  </sheetData>
  <mergeCells count="158">
    <mergeCell ref="L1:O1"/>
    <mergeCell ref="B5:F5"/>
    <mergeCell ref="U5:Z5"/>
    <mergeCell ref="AD5:AF5"/>
    <mergeCell ref="H10:H11"/>
    <mergeCell ref="L10:Q11"/>
    <mergeCell ref="U10:X10"/>
    <mergeCell ref="B10:F11"/>
    <mergeCell ref="B36:E36"/>
    <mergeCell ref="C37:F37"/>
    <mergeCell ref="C38:F38"/>
    <mergeCell ref="C39:F39"/>
    <mergeCell ref="C40:F40"/>
    <mergeCell ref="C41:F41"/>
    <mergeCell ref="C42:F42"/>
    <mergeCell ref="C43:F43"/>
    <mergeCell ref="B45:E45"/>
    <mergeCell ref="C47:F47"/>
    <mergeCell ref="C48:F48"/>
    <mergeCell ref="C49:F49"/>
    <mergeCell ref="C50:F50"/>
    <mergeCell ref="C51:F51"/>
    <mergeCell ref="C52:F52"/>
    <mergeCell ref="C53:F53"/>
    <mergeCell ref="C55:F55"/>
    <mergeCell ref="C57:F57"/>
    <mergeCell ref="C65:F65"/>
    <mergeCell ref="C66:F66"/>
    <mergeCell ref="C67:F67"/>
    <mergeCell ref="C68:F68"/>
    <mergeCell ref="C70:F70"/>
    <mergeCell ref="C72:F72"/>
    <mergeCell ref="C73:F73"/>
    <mergeCell ref="C74:F74"/>
    <mergeCell ref="C75:F75"/>
    <mergeCell ref="C76:F76"/>
    <mergeCell ref="C77:F77"/>
    <mergeCell ref="C78:F78"/>
    <mergeCell ref="C79:F79"/>
    <mergeCell ref="C81:F81"/>
    <mergeCell ref="C83:F83"/>
    <mergeCell ref="C84:F84"/>
    <mergeCell ref="C85:F85"/>
    <mergeCell ref="C86:F86"/>
    <mergeCell ref="C87:F87"/>
    <mergeCell ref="C88:F88"/>
    <mergeCell ref="C89:F89"/>
    <mergeCell ref="C90:F90"/>
    <mergeCell ref="C92:F92"/>
    <mergeCell ref="C95:F95"/>
    <mergeCell ref="C96:F96"/>
    <mergeCell ref="C97:F97"/>
    <mergeCell ref="C98:F98"/>
    <mergeCell ref="C100:F100"/>
    <mergeCell ref="C101:F101"/>
    <mergeCell ref="C102:F102"/>
    <mergeCell ref="C103:F103"/>
    <mergeCell ref="C107:F107"/>
    <mergeCell ref="C108:F108"/>
    <mergeCell ref="C109:F109"/>
    <mergeCell ref="C110:F110"/>
    <mergeCell ref="C111:F111"/>
    <mergeCell ref="C112:F112"/>
    <mergeCell ref="C116:F116"/>
    <mergeCell ref="C117:F117"/>
    <mergeCell ref="C118:F118"/>
    <mergeCell ref="C119:F119"/>
    <mergeCell ref="C120:F120"/>
    <mergeCell ref="C121:F121"/>
    <mergeCell ref="C122:F122"/>
    <mergeCell ref="C123:F123"/>
    <mergeCell ref="B125:E125"/>
    <mergeCell ref="C127:F127"/>
    <mergeCell ref="C128:F128"/>
    <mergeCell ref="C129:F129"/>
    <mergeCell ref="C130:F130"/>
    <mergeCell ref="C131:F131"/>
    <mergeCell ref="C132:F132"/>
    <mergeCell ref="C133:F133"/>
    <mergeCell ref="C134:F134"/>
    <mergeCell ref="C172:F172"/>
    <mergeCell ref="C174:F174"/>
    <mergeCell ref="C175:F175"/>
    <mergeCell ref="C176:F176"/>
    <mergeCell ref="C178:F178"/>
    <mergeCell ref="C179:F179"/>
    <mergeCell ref="C180:F180"/>
    <mergeCell ref="C181:F181"/>
    <mergeCell ref="C182:F182"/>
    <mergeCell ref="C183:F183"/>
    <mergeCell ref="C184:F184"/>
    <mergeCell ref="C185:F185"/>
    <mergeCell ref="C186:F186"/>
    <mergeCell ref="C187:F187"/>
    <mergeCell ref="C188:F188"/>
    <mergeCell ref="C190:F190"/>
    <mergeCell ref="C192:F192"/>
    <mergeCell ref="C193:F193"/>
    <mergeCell ref="C259:F259"/>
    <mergeCell ref="C260:F260"/>
    <mergeCell ref="C261:F261"/>
    <mergeCell ref="C262:F262"/>
    <mergeCell ref="C252:F252"/>
    <mergeCell ref="C253:F253"/>
    <mergeCell ref="C254:F254"/>
    <mergeCell ref="C255:F255"/>
    <mergeCell ref="C256:F256"/>
    <mergeCell ref="C257:F257"/>
    <mergeCell ref="C258:F258"/>
    <mergeCell ref="C194:F194"/>
    <mergeCell ref="C195:F195"/>
    <mergeCell ref="C196:F196"/>
    <mergeCell ref="C197:F197"/>
    <mergeCell ref="C198:F198"/>
    <mergeCell ref="C199:F199"/>
    <mergeCell ref="C200:F200"/>
    <mergeCell ref="C201:F201"/>
    <mergeCell ref="C202:F202"/>
    <mergeCell ref="C203:F203"/>
    <mergeCell ref="C204:F204"/>
    <mergeCell ref="C206:F206"/>
    <mergeCell ref="C208:F208"/>
    <mergeCell ref="C209:F209"/>
    <mergeCell ref="C210:F210"/>
    <mergeCell ref="C211:F211"/>
    <mergeCell ref="C212:F212"/>
    <mergeCell ref="C213:F213"/>
    <mergeCell ref="C214:F214"/>
    <mergeCell ref="C215:F215"/>
    <mergeCell ref="C216:F216"/>
    <mergeCell ref="C217:F217"/>
    <mergeCell ref="C218:F218"/>
    <mergeCell ref="C219:F219"/>
    <mergeCell ref="C221:F221"/>
    <mergeCell ref="C223:F223"/>
    <mergeCell ref="C224:F224"/>
    <mergeCell ref="C225:F225"/>
    <mergeCell ref="C226:F226"/>
    <mergeCell ref="C227:F227"/>
    <mergeCell ref="C228:F228"/>
    <mergeCell ref="C229:F229"/>
    <mergeCell ref="C230:F230"/>
    <mergeCell ref="C231:F231"/>
    <mergeCell ref="C232:F232"/>
    <mergeCell ref="C234:F234"/>
    <mergeCell ref="C236:F236"/>
    <mergeCell ref="C237:F237"/>
    <mergeCell ref="C238:F238"/>
    <mergeCell ref="C239:F239"/>
    <mergeCell ref="C240:F240"/>
    <mergeCell ref="C241:F241"/>
    <mergeCell ref="C243:F243"/>
    <mergeCell ref="C244:F244"/>
    <mergeCell ref="C245:F245"/>
    <mergeCell ref="C246:F246"/>
    <mergeCell ref="C247:F247"/>
    <mergeCell ref="C249:F249"/>
    <mergeCell ref="C251:F251"/>
  </mergeCells>
  <conditionalFormatting sqref="B26:B31">
    <cfRule type="expression" dxfId="0" priority="1">
      <formula>#REF! &lt;#REF!</formula>
    </cfRule>
  </conditionalFormatting>
  <conditionalFormatting sqref="B86:B88">
    <cfRule type="expression" dxfId="0" priority="2">
      <formula>#REF! &lt;#REF!</formula>
    </cfRule>
  </conditionalFormatting>
  <conditionalFormatting sqref="B35:D123 E35:G1082 I38:I43 H44:H46 I47:I53 I57:I68 H64:H69 J64:K68 K70:K155 H71:H93 I71:I103 J71:J93 L80:O88 L91:O93 H102:H103 J102:J103 H106:J112 L106:O106 H115:J123 L115:O115 B125:D134 H126:J134 L126:O126 B136:D1082 I174:I185 H176:H178 H180:H188 I192:I203 H194:H196 H198:H200 H202:H204 I208:I219 H210:H214 H216:H219 I223:I232 H225:H227 H230:H232 J231:K232 H236:H247 I236:I246 H251:K262">
    <cfRule type="expression" dxfId="0" priority="3">
      <formula>G35 &lt;#REF!</formula>
    </cfRule>
  </conditionalFormatting>
  <conditionalFormatting sqref="B26:B31 B38:G43 I38:I43 B47:G53 I47:I53 B57:B68 C57:F79 G57:G68 I57:I68 H64:H68 J64:K68 K70:K155 H71:J79 B72:B79 G72:G79 H82:J91 B83:G90 H93 I93:I103 J93 B94:B103 G94:G103 C95:F96 C98:F103 H102:H103 J102:J103 B106:J112 B115:J123 B126:J134 B174:B188 C174:F176 G174:G188 I174:I185 H176:H178 C178:F188 H180:H188 B192:G204 I192:I203 H194:H196 H198:H200 H202:H204 B208:G219 I208:I219 H210:H214 H216:H219 B222:G232 I223:I232 H225:H227 H230:H232 B236:B247 C236:F241 G236:H247 I236:I246 C243:F247 B251:K262">
    <cfRule type="expression" dxfId="0" priority="4">
      <formula>#REF! &lt;#REF!</formula>
    </cfRule>
  </conditionalFormatting>
  <conditionalFormatting sqref="B33:H33 G38:G43 G47:G53 G57:G68 G72:G79 G83:G90 G94:G103 G107:G112 G116:G123 G127:G134">
    <cfRule type="expression" dxfId="0" priority="5">
      <formula>G34 &lt;#REF!</formula>
    </cfRule>
  </conditionalFormatting>
  <conditionalFormatting sqref="B26:B31 B34:G34 H34:H339 J34:K339 L34:O43 P36:Q36 B38:G43 I38:I43 P38:Q43 L45:O339 P45:Q45 B47:G53 I47:I53 P47:Q53 P55:Q55 B57:B68 C57:F79 G57:G68 I57:I69 P57:Q68 P70:Q70 I71:I79 B72:B79 G72:G79 P72:Q79 P81:Q81 I82:I91 B83:G90 P83:Q90 P92:Q92 I93:I103 B94:B103 G94:G103 P94:Q103 C95:F96 C98:F103 P105:Q105 B106:G112 I106:I112 P107:Q112 P114:Q114 B115:G123 I115:I123 P116:Q123 P125:Q125 B126:G134 I126:I134 P127:Q134 B174:B188 C174:F176 G174:G188 I174:I185 C178:F188 B192:G204 I192:I203 B208:G219 I208:I219 B222:G232 I223:I232 B236:B247 C236:F241 G236:G247 I236:I246 C243:F247 B251:G262 I251:I262 B264:G266">
    <cfRule type="colorScale" priority="6">
      <colorScale>
        <cfvo type="formula" val="0"/>
        <cfvo type="formula" val="1.9"/>
        <cfvo type="formula" val="4"/>
        <color rgb="FFC8D3FF"/>
        <color rgb="FFE7F2F9"/>
        <color rgb="FFACDCB8"/>
      </colorScale>
    </cfRule>
  </conditionalFormatting>
  <conditionalFormatting sqref="B28 G38:G43 G47:G53 G57:G68 G72:G79 G83:G90 G94:G103 G107:G112 G116:G123 G127:G134 G192:G193 G197:G199 B199:F199 G201:G202 G209:G210 G212 G214 G225:G226 G229 G259">
    <cfRule type="expression" dxfId="1" priority="7">
      <formula>"If(O9='Up to 50, NA(),1)"</formula>
    </cfRule>
  </conditionalFormatting>
  <dataValidations>
    <dataValidation type="list" allowBlank="1" showErrorMessage="1" sqref="H38:H43 H47:H53 H57:H68 H72:H79 H83:H90 H94:H103 H107:H112 H116:H123 H127:H134 H174:H188 H192:H204 H208:H219 H223:H232 H236:H247 H251:H262">
      <formula1>Criteria!$B$2:$G$2</formula1>
    </dataValidation>
  </dataValidations>
  <hyperlinks>
    <hyperlink r:id="rId4" ref="U174"/>
    <hyperlink r:id="rId5" ref="V174"/>
    <hyperlink r:id="rId6" ref="U175"/>
    <hyperlink r:id="rId7" ref="V175"/>
    <hyperlink r:id="rId8" ref="U177"/>
    <hyperlink r:id="rId9" ref="U180"/>
    <hyperlink r:id="rId10" ref="U181"/>
    <hyperlink r:id="rId11" ref="U182"/>
    <hyperlink r:id="rId12" ref="U185"/>
    <hyperlink r:id="rId13" ref="U194"/>
    <hyperlink r:id="rId14" ref="U208"/>
    <hyperlink r:id="rId15" ref="V208"/>
    <hyperlink r:id="rId16" ref="U245"/>
    <hyperlink r:id="rId17" ref="V245"/>
    <hyperlink r:id="rId18" ref="U246"/>
    <hyperlink r:id="rId19" ref="U251"/>
    <hyperlink r:id="rId20" ref="U252"/>
    <hyperlink r:id="rId21" ref="U260"/>
  </hyperlinks>
  <printOptions/>
  <pageMargins bottom="0.75" footer="0.0" header="0.0" left="0.7" right="0.7" top="0.75"/>
  <pageSetup paperSize="9" orientation="portrait"/>
  <drawing r:id="rId22"/>
  <legacyDrawing r:id="rId2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BC2E6"/>
    <outlinePr summaryBelow="0" summaryRight="0"/>
  </sheetPr>
  <sheetViews>
    <sheetView workbookViewId="0"/>
  </sheetViews>
  <sheetFormatPr customHeight="1" defaultColWidth="12.63" defaultRowHeight="15.0" outlineLevelRow="1"/>
  <cols>
    <col customWidth="1" min="1" max="1" width="3.25"/>
    <col customWidth="1" min="2" max="2" width="18.5"/>
    <col customWidth="1" min="7" max="7" width="6.63"/>
    <col customWidth="1" min="9" max="9" width="17.75"/>
    <col customWidth="1" min="10" max="10" width="7.63"/>
    <col customWidth="1" min="11" max="11" width="2.38"/>
  </cols>
  <sheetData>
    <row r="1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39.0" customHeight="1">
      <c r="A2" s="2"/>
      <c r="B2" s="10" t="s">
        <v>13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1"/>
      <c r="O2" s="11" t="s">
        <v>22</v>
      </c>
      <c r="P2" s="2"/>
      <c r="Q2" s="2"/>
      <c r="R2" s="2"/>
      <c r="S2" s="2"/>
      <c r="T2" s="2"/>
      <c r="U2" s="2"/>
      <c r="V2" s="2"/>
      <c r="W2" s="2"/>
      <c r="X2" s="2"/>
    </row>
    <row r="3" ht="27.0" customHeight="1">
      <c r="A3" s="2"/>
      <c r="B3" s="12" t="s">
        <v>23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1"/>
      <c r="O3" s="13" t="s">
        <v>24</v>
      </c>
      <c r="P3" s="2"/>
      <c r="Q3" s="2"/>
      <c r="R3" s="2"/>
      <c r="S3" s="2"/>
      <c r="T3" s="2"/>
      <c r="U3" s="2"/>
      <c r="V3" s="2"/>
      <c r="W3" s="2"/>
      <c r="X3" s="2"/>
    </row>
    <row r="4" ht="30.75" customHeight="1">
      <c r="A4" s="2"/>
      <c r="B4" s="14" t="s">
        <v>25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15"/>
      <c r="O4" s="15"/>
      <c r="P4" s="2"/>
      <c r="Q4" s="2"/>
      <c r="R4" s="2"/>
      <c r="S4" s="2"/>
      <c r="T4" s="2"/>
      <c r="U4" s="2"/>
      <c r="V4" s="2"/>
      <c r="W4" s="2"/>
      <c r="X4" s="2"/>
    </row>
    <row r="5" ht="23.25" customHeight="1">
      <c r="A5" s="16"/>
      <c r="B5" s="12" t="s">
        <v>26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/>
      <c r="O5" s="16"/>
      <c r="P5" s="16"/>
      <c r="Q5" s="16"/>
      <c r="R5" s="16"/>
      <c r="S5" s="16"/>
      <c r="T5" s="16"/>
      <c r="U5" s="16"/>
      <c r="V5" s="16"/>
      <c r="W5" s="16"/>
      <c r="X5" s="16"/>
    </row>
    <row r="6" ht="42.0" customHeight="1">
      <c r="A6" s="16"/>
      <c r="B6" s="18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7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ht="19.5" customHeight="1">
      <c r="A7" s="19"/>
      <c r="B7" s="20" t="s">
        <v>27</v>
      </c>
      <c r="C7" s="21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ht="47.25" customHeight="1">
      <c r="A8" s="19"/>
      <c r="B8" s="22"/>
      <c r="C8" s="21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ht="47.25" customHeight="1">
      <c r="A9" s="19"/>
      <c r="B9" s="22"/>
      <c r="C9" s="21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</row>
    <row r="10" ht="47.25" customHeight="1">
      <c r="A10" s="19"/>
      <c r="B10" s="22"/>
      <c r="C10" s="23"/>
      <c r="D10" s="24"/>
      <c r="E10" s="24"/>
      <c r="F10" s="24"/>
      <c r="G10" s="24"/>
      <c r="H10" s="24"/>
      <c r="I10" s="25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</row>
    <row r="11" ht="47.25" customHeight="1">
      <c r="A11" s="19"/>
      <c r="B11" s="26"/>
      <c r="C11" s="21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ht="13.5" customHeight="1">
      <c r="A12" s="19"/>
      <c r="B12" s="27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</row>
    <row r="13" ht="11.25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</row>
    <row r="14">
      <c r="A14" s="28"/>
      <c r="B14" s="29" t="s">
        <v>28</v>
      </c>
      <c r="C14" s="30"/>
      <c r="D14" s="31"/>
      <c r="E14" s="30"/>
      <c r="F14" s="30"/>
      <c r="G14" s="30"/>
      <c r="H14" s="30"/>
      <c r="I14" s="30"/>
      <c r="J14" s="32" t="s">
        <v>29</v>
      </c>
      <c r="K14" s="33" t="s">
        <v>30</v>
      </c>
      <c r="L14" s="32" t="s">
        <v>31</v>
      </c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</row>
    <row r="15">
      <c r="A15" s="34"/>
      <c r="B15" s="29" t="s">
        <v>32</v>
      </c>
      <c r="C15" s="35"/>
      <c r="D15" s="36"/>
      <c r="E15" s="35"/>
      <c r="F15" s="35"/>
      <c r="G15" s="35"/>
      <c r="H15" s="37" t="s">
        <v>33</v>
      </c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</row>
    <row r="16" ht="25.5" customHeight="1">
      <c r="A16" s="28"/>
      <c r="B16" s="33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</row>
    <row r="17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</row>
    <row r="18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</row>
    <row r="19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</row>
    <row r="20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</row>
    <row r="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</row>
    <row r="22" ht="27.0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</row>
  </sheetData>
  <mergeCells count="1">
    <mergeCell ref="C10:I10"/>
  </mergeCells>
  <hyperlinks>
    <hyperlink r:id="rId1" ref="O3"/>
    <hyperlink r:id="rId2" ref="J14"/>
    <hyperlink r:id="rId3" ref="L14"/>
    <hyperlink r:id="rId4" ref="H15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 outlineLevelRow="1"/>
  <cols>
    <col customWidth="1" min="1" max="1" width="4.88"/>
    <col customWidth="1" min="2" max="2" width="31.88"/>
    <col customWidth="1" min="3" max="3" width="24.13"/>
    <col customWidth="1" min="4" max="7" width="19.38"/>
    <col customWidth="1" min="8" max="11" width="9.0"/>
    <col customWidth="1" min="12" max="12" width="9.38"/>
  </cols>
  <sheetData>
    <row r="1" ht="14.25" customHeight="1">
      <c r="A1" s="1"/>
      <c r="B1" s="3"/>
      <c r="C1" s="3"/>
      <c r="D1" s="3"/>
      <c r="E1" s="3"/>
    </row>
    <row r="2" ht="14.25" customHeight="1">
      <c r="A2" s="4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6">
        <v>0.0</v>
      </c>
      <c r="I2" s="7">
        <v>1.0</v>
      </c>
      <c r="J2" s="7">
        <v>2.0</v>
      </c>
      <c r="K2" s="7">
        <v>3.0</v>
      </c>
      <c r="L2" s="7">
        <v>4.0</v>
      </c>
    </row>
    <row r="3" ht="15.75" customHeight="1">
      <c r="B3" s="5" t="s">
        <v>6</v>
      </c>
      <c r="C3" s="5" t="s">
        <v>7</v>
      </c>
      <c r="D3" s="5" t="s">
        <v>8</v>
      </c>
      <c r="E3" s="5" t="s">
        <v>9</v>
      </c>
      <c r="F3" s="5"/>
      <c r="G3" s="5" t="s">
        <v>5</v>
      </c>
      <c r="H3" s="6">
        <v>0.0</v>
      </c>
      <c r="I3" s="7">
        <v>1.0</v>
      </c>
      <c r="J3" s="7">
        <v>2.0</v>
      </c>
      <c r="K3" s="7">
        <v>3.0</v>
      </c>
      <c r="L3" s="7">
        <v>4.0</v>
      </c>
    </row>
    <row r="4" ht="15.75" customHeight="1">
      <c r="B4" s="8" t="s">
        <v>10</v>
      </c>
      <c r="C4" s="5" t="s">
        <v>11</v>
      </c>
      <c r="D4" s="8" t="s">
        <v>12</v>
      </c>
      <c r="F4" s="9"/>
      <c r="G4" s="9" t="s">
        <v>5</v>
      </c>
      <c r="H4" s="6">
        <v>0.0</v>
      </c>
      <c r="I4" s="7">
        <v>1.0</v>
      </c>
      <c r="J4" s="7">
        <v>2.0</v>
      </c>
      <c r="K4" s="7">
        <v>3.0</v>
      </c>
      <c r="L4" s="7">
        <v>4.0</v>
      </c>
    </row>
    <row r="5" ht="15.75" customHeight="1">
      <c r="B5" s="8" t="s">
        <v>14</v>
      </c>
      <c r="C5" s="8" t="s">
        <v>15</v>
      </c>
      <c r="D5" s="8" t="s">
        <v>16</v>
      </c>
      <c r="F5" s="9"/>
      <c r="G5" s="9" t="s">
        <v>5</v>
      </c>
      <c r="H5" s="6">
        <v>0.0</v>
      </c>
      <c r="I5" s="7">
        <v>1.0</v>
      </c>
      <c r="J5" s="7">
        <v>2.0</v>
      </c>
      <c r="K5" s="7">
        <v>3.0</v>
      </c>
      <c r="L5" s="7">
        <v>4.0</v>
      </c>
    </row>
    <row r="6" ht="15.75" customHeight="1">
      <c r="B6" s="8" t="s">
        <v>17</v>
      </c>
      <c r="C6" s="8" t="s">
        <v>18</v>
      </c>
      <c r="D6" s="8" t="s">
        <v>19</v>
      </c>
      <c r="E6" s="8" t="s">
        <v>20</v>
      </c>
      <c r="F6" s="8" t="s">
        <v>21</v>
      </c>
      <c r="G6" s="9" t="s">
        <v>5</v>
      </c>
      <c r="H6" s="6">
        <v>0.0</v>
      </c>
      <c r="I6" s="7">
        <v>1.0</v>
      </c>
      <c r="J6" s="7">
        <v>2.0</v>
      </c>
      <c r="K6" s="7">
        <v>3.0</v>
      </c>
      <c r="L6" s="7">
        <v>4.0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</sheetData>
  <conditionalFormatting sqref="A1:A2">
    <cfRule type="expression" dxfId="0" priority="1">
      <formula>E1 &lt;#REF!</formula>
    </cfRule>
  </conditionalFormatting>
  <printOptions/>
  <pageMargins bottom="0.75" footer="0.0" header="0.0" left="0.7" right="0.7" top="0.75"/>
  <pageSetup orientation="landscape"/>
  <drawing r:id="rId1"/>
</worksheet>
</file>